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ordenadas" sheetId="2" state="visible" r:id="rId4"/>
    <sheet name="Notas e fo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Kiribati se espalha por mais de 3.000 km. O ponto foi colocado em Tarawa (capital), onde vive a maior parte da população.</t>
        </r>
      </text>
    </comment>
  </commentList>
</comments>
</file>

<file path=xl/sharedStrings.xml><?xml version="1.0" encoding="utf-8"?>
<sst xmlns="http://schemas.openxmlformats.org/spreadsheetml/2006/main" count="133" uniqueCount="91">
  <si>
    <t xml:space="preserve">País</t>
  </si>
  <si>
    <t xml:space="preserve">Coordenada X</t>
  </si>
  <si>
    <t xml:space="preserve">Coordenada Y</t>
  </si>
  <si>
    <t xml:space="preserve">Região</t>
  </si>
  <si>
    <t xml:space="preserve">Idioma principal</t>
  </si>
  <si>
    <t xml:space="preserve">Esporte mais popular</t>
  </si>
  <si>
    <t xml:space="preserve">Economia</t>
  </si>
  <si>
    <t xml:space="preserve">IDH</t>
  </si>
  <si>
    <t xml:space="preserve">PIB (Bilhões de Dolares)</t>
  </si>
  <si>
    <t xml:space="preserve">Área (km²)</t>
  </si>
  <si>
    <t xml:space="preserve">População</t>
  </si>
  <si>
    <t xml:space="preserve">Austrália</t>
  </si>
  <si>
    <t xml:space="preserve">Australásia</t>
  </si>
  <si>
    <t xml:space="preserve">Inglês</t>
  </si>
  <si>
    <t xml:space="preserve">Futebol australiano</t>
  </si>
  <si>
    <t xml:space="preserve">Economia desenvolvida, mineração (minério de ferro e carvão), agropecuária e serviços</t>
  </si>
  <si>
    <t xml:space="preserve">Fiji</t>
  </si>
  <si>
    <t xml:space="preserve">Melanésia</t>
  </si>
  <si>
    <t xml:space="preserve">Inglês, Fijiano e Hindi fijiano</t>
  </si>
  <si>
    <t xml:space="preserve">Rugby</t>
  </si>
  <si>
    <t xml:space="preserve">Economia baseada no turismo, açúcar e remessas de emigrantes</t>
  </si>
  <si>
    <t xml:space="preserve">Ilhas Marshall</t>
  </si>
  <si>
    <t xml:space="preserve">Micronésia</t>
  </si>
  <si>
    <t xml:space="preserve">Marshalês e Inglês</t>
  </si>
  <si>
    <t xml:space="preserve">Basquete</t>
  </si>
  <si>
    <t xml:space="preserve">Economia dependente de ajuda dos EUA, pesca e registro de navios</t>
  </si>
  <si>
    <t xml:space="preserve">Ilhas Salomão</t>
  </si>
  <si>
    <t xml:space="preserve">Inglês e Pijin</t>
  </si>
  <si>
    <t xml:space="preserve">Futebol</t>
  </si>
  <si>
    <t xml:space="preserve">Economia agrícola, extração de madeira e pesca</t>
  </si>
  <si>
    <t xml:space="preserve">Kiribati</t>
  </si>
  <si>
    <t xml:space="preserve">Gilbertês e Inglês</t>
  </si>
  <si>
    <t xml:space="preserve">Economia baseada em licenças de pesca, ajuda externa e copra</t>
  </si>
  <si>
    <t xml:space="preserve">Inglês, Chuukês e Pohnpeiano</t>
  </si>
  <si>
    <t xml:space="preserve">Economia dependente de ajuda dos EUA, pesca e agricultura de subsistência</t>
  </si>
  <si>
    <t xml:space="preserve">Nauru</t>
  </si>
  <si>
    <t xml:space="preserve">Nauruano e Inglês</t>
  </si>
  <si>
    <t xml:space="preserve">Economia baseada em ajuda externa, fosfato (quase esgotado) e licenças de pesca</t>
  </si>
  <si>
    <t xml:space="preserve">Nova Zelândia</t>
  </si>
  <si>
    <t xml:space="preserve">Inglês e Maori</t>
  </si>
  <si>
    <t xml:space="preserve">Economia desenvolvida, agropecuária (laticínios), turismo e serviços</t>
  </si>
  <si>
    <t xml:space="preserve">Palau</t>
  </si>
  <si>
    <t xml:space="preserve">Palauano e Inglês</t>
  </si>
  <si>
    <t xml:space="preserve">Beisebol</t>
  </si>
  <si>
    <t xml:space="preserve">Economia baseada no turismo e ajuda dos EUA</t>
  </si>
  <si>
    <t xml:space="preserve">Papua-Nova Guiné</t>
  </si>
  <si>
    <t xml:space="preserve">Tok Pisin, Inglês e Hiri Motu</t>
  </si>
  <si>
    <t xml:space="preserve">Rugby league</t>
  </si>
  <si>
    <t xml:space="preserve">Economia baseada em mineração (ouro e cobre), gás natural e agricultura</t>
  </si>
  <si>
    <t xml:space="preserve">Samoa</t>
  </si>
  <si>
    <t xml:space="preserve">Polinésia</t>
  </si>
  <si>
    <t xml:space="preserve">Samoano e Inglês</t>
  </si>
  <si>
    <t xml:space="preserve">Economia baseada em remessas de emigrantes, turismo e agricultura</t>
  </si>
  <si>
    <t xml:space="preserve">Tonga</t>
  </si>
  <si>
    <t xml:space="preserve">Tonganês e Inglês</t>
  </si>
  <si>
    <t xml:space="preserve">Economia baseada em remessas de emigrantes, agricultura e pesca</t>
  </si>
  <si>
    <t xml:space="preserve">Tuvalu</t>
  </si>
  <si>
    <t xml:space="preserve">Tuvaluano e Inglês</t>
  </si>
  <si>
    <t xml:space="preserve">Economia baseada em licenças de pesca, venda do domínio ".tv" e ajuda externa</t>
  </si>
  <si>
    <t xml:space="preserve">Vanuatu</t>
  </si>
  <si>
    <t xml:space="preserve">Bislama, Inglês e Francês</t>
  </si>
  <si>
    <t xml:space="preserve">Economia baseada no turismo, agricultura (copra) e serviços financeiros</t>
  </si>
  <si>
    <t xml:space="preserve">Latitude</t>
  </si>
  <si>
    <t xml:space="preserve">Longitude</t>
  </si>
  <si>
    <t xml:space="preserve">Longitude (0–360°)</t>
  </si>
  <si>
    <t xml:space="preserve">Parâmetros da projeção</t>
  </si>
  <si>
    <t xml:space="preserve">Longitude no centro do palco (X = 0), em graus 0–360</t>
  </si>
  <si>
    <t xml:space="preserve">Latitude no centro do palco (Y = 0)</t>
  </si>
  <si>
    <t xml:space="preserve">Escala (pixels por grau)</t>
  </si>
  <si>
    <t xml:space="preserve">Como usar: edite só as células amarelas para realinhar todos os pontos à imagem do mapa.</t>
  </si>
  <si>
    <t xml:space="preserve">X = ARRED((Longitude 0–360 − H2) × H4)   |   Y = ARRED((Latitude − H3) × H4)</t>
  </si>
  <si>
    <t xml:space="preserve">A longitude é convertida para 0–360° porque a Oceania atravessa a linha de 180° (Samoa e Tonga têm longitude negativa).</t>
  </si>
  <si>
    <t xml:space="preserve">Palco de 480 × 360 px com origem no centro (mesmo sistema das bases da Europa, Ásia e África).</t>
  </si>
  <si>
    <t xml:space="preserve">Latitude/Longitude: ponto de rótulo do Natural Earth (Kiribati ajustado para Tarawa).</t>
  </si>
  <si>
    <t xml:space="preserve">Notas e fontes</t>
  </si>
  <si>
    <t xml:space="preserve">Coluna</t>
  </si>
  <si>
    <t xml:space="preserve">Fonte / critério</t>
  </si>
  <si>
    <t xml:space="preserve">Países</t>
  </si>
  <si>
    <t xml:space="preserve">Os 14 países independentes da Oceania membros da ONU. Ficaram de fora Ilhas Cook e Niue (livre associação com a Nova Zelândia) e territórios dependentes como Nova Caledônia, Polinésia Francesa, Guam e Havaí.</t>
  </si>
  <si>
    <t xml:space="preserve">* (asterisco)</t>
  </si>
  <si>
    <t xml:space="preserve">Nenhum país da lista é transcontinental. A Indonésia (Papua Ocidental) e o Timor-Leste já aparecem com * na base da Ásia.</t>
  </si>
  <si>
    <t xml:space="preserve">Coordenada X / Y</t>
  </si>
  <si>
    <t xml:space="preserve">Calculadas a partir de latitude e longitude na aba "Coordenadas" (projeção equiretangular ajustada ao palco de 480 × 360).</t>
  </si>
  <si>
    <t xml:space="preserve">Sub-regiões da Divisão de Estatística da ONU (M49). "Australásia" corresponde ao grupo "Austrália e Nova Zelândia" da ONU. Kiribati inteiro está na Micronésia, embora parte das ilhas fique na Polinésia.</t>
  </si>
  <si>
    <t xml:space="preserve">PNUD, Relatório de Desenvolvimento Humano 2025 (dados de 2023) — o mais recente publicado até set/2026.</t>
  </si>
  <si>
    <t xml:space="preserve">FMI, World Economic Outlook de abril de 2026, PIB nominal projetado para 2026. Países pequenos com 3 casas decimais (ex.: Tuvalu = 0,065 bilhão = 65 milhões).</t>
  </si>
  <si>
    <t xml:space="preserve">Estimativa implícita do FMI para 2026 (PIB ÷ PIB per capita, WEO abril de 2026), arredondada.</t>
  </si>
  <si>
    <t xml:space="preserve">CIA World Factbook (área total).</t>
  </si>
  <si>
    <t xml:space="preserve">Idiomas oficiais ou mais falados. Papua-Nova Guiné tem mais de 800 línguas; Vanuatu, mais de 100.</t>
  </si>
  <si>
    <t xml:space="preserve">Rugby union em Fiji, Samoa, Tonga e Nova Zelândia; rugby league em Papua-Nova Guiné; futebol australiano na Austrália e em Nauru; basquete e beisebol nas ilhas com influência dos EUA.</t>
  </si>
  <si>
    <t xml:space="preserve">Descrição resumida das principais atividades econômicas, no mesmo formato da base da Ásia.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</si>
</sst>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##"/>
    <numFmt numFmtId="167" formatCode="#,##0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</font>
    <font>
      <b val="true"/>
      <sz val="1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9"/>
    <col collapsed="false" customWidth="true" hidden="false" outlineLevel="0" max="3" min="2" style="0" width="13.3"/>
    <col collapsed="false" customWidth="true" hidden="false" outlineLevel="0" max="4" min="4" style="0" width="15.6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72"/>
    <col collapsed="false" customWidth="true" hidden="false" outlineLevel="0" max="9" min="9" style="0" width="21.9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n">
        <f aca="false">ROUND((Coordenadas!D2-Coordenadas!$H$2)*Coordenadas!$H$4,0)</f>
        <v>-119</v>
      </c>
      <c r="C2" s="0" t="n">
        <f aca="false">ROUND((Coordenadas!B2-Coordenadas!$H$3)*Coordenadas!$H$4,0)</f>
        <v>-31</v>
      </c>
      <c r="D2" s="0" t="s">
        <v>12</v>
      </c>
      <c r="E2" s="0" t="s">
        <v>13</v>
      </c>
      <c r="F2" s="0" t="s">
        <v>14</v>
      </c>
      <c r="G2" s="0" t="s">
        <v>15</v>
      </c>
      <c r="H2" s="2" t="n">
        <v>0.958</v>
      </c>
      <c r="I2" s="3" t="n">
        <v>2124</v>
      </c>
      <c r="J2" s="4" t="n">
        <v>7741220</v>
      </c>
      <c r="K2" s="4" t="n">
        <v>28077000</v>
      </c>
    </row>
    <row r="3" customFormat="false" ht="15" hidden="false" customHeight="false" outlineLevel="0" collapsed="false">
      <c r="A3" s="0" t="s">
        <v>16</v>
      </c>
      <c r="B3" s="0" t="n">
        <f aca="false">ROUND((Coordenadas!D3-Coordenadas!$H$2)*Coordenadas!$H$4,0)</f>
        <v>75</v>
      </c>
      <c r="C3" s="0" t="n">
        <f aca="false">ROUND((Coordenadas!B3-Coordenadas!$H$3)*Coordenadas!$H$4,0)</f>
        <v>-4</v>
      </c>
      <c r="D3" s="0" t="s">
        <v>17</v>
      </c>
      <c r="E3" s="0" t="s">
        <v>18</v>
      </c>
      <c r="F3" s="0" t="s">
        <v>19</v>
      </c>
      <c r="G3" s="0" t="s">
        <v>20</v>
      </c>
      <c r="H3" s="2" t="n">
        <v>0.731</v>
      </c>
      <c r="I3" s="3" t="n">
        <v>6.352</v>
      </c>
      <c r="J3" s="4" t="n">
        <v>18274</v>
      </c>
      <c r="K3" s="4" t="n">
        <v>934000</v>
      </c>
    </row>
    <row r="4" customFormat="false" ht="15" hidden="false" customHeight="false" outlineLevel="0" collapsed="false">
      <c r="A4" s="0" t="s">
        <v>21</v>
      </c>
      <c r="B4" s="0" t="n">
        <f aca="false">ROUND((Coordenadas!D4-Coordenadas!$H$2)*Coordenadas!$H$4,0)</f>
        <v>45</v>
      </c>
      <c r="C4" s="0" t="n">
        <f aca="false">ROUND((Coordenadas!B4-Coordenadas!$H$3)*Coordenadas!$H$4,0)</f>
        <v>106</v>
      </c>
      <c r="D4" s="0" t="s">
        <v>22</v>
      </c>
      <c r="E4" s="0" t="s">
        <v>23</v>
      </c>
      <c r="F4" s="0" t="s">
        <v>24</v>
      </c>
      <c r="G4" s="0" t="s">
        <v>25</v>
      </c>
      <c r="H4" s="2" t="n">
        <v>0.733</v>
      </c>
      <c r="I4" s="3" t="n">
        <v>0.342</v>
      </c>
      <c r="J4" s="4" t="n">
        <v>181</v>
      </c>
      <c r="K4" s="4" t="n">
        <v>35300</v>
      </c>
    </row>
    <row r="5" customFormat="false" ht="15" hidden="false" customHeight="false" outlineLevel="0" collapsed="false">
      <c r="A5" s="0" t="s">
        <v>26</v>
      </c>
      <c r="B5" s="0" t="n">
        <f aca="false">ROUND((Coordenadas!D5-Coordenadas!$H$2)*Coordenadas!$H$4,0)</f>
        <v>-8</v>
      </c>
      <c r="C5" s="0" t="n">
        <f aca="false">ROUND((Coordenadas!B5-Coordenadas!$H$3)*Coordenadas!$H$4,0)</f>
        <v>39</v>
      </c>
      <c r="D5" s="0" t="s">
        <v>17</v>
      </c>
      <c r="E5" s="0" t="s">
        <v>27</v>
      </c>
      <c r="F5" s="0" t="s">
        <v>28</v>
      </c>
      <c r="G5" s="0" t="s">
        <v>29</v>
      </c>
      <c r="H5" s="2" t="n">
        <v>0.584</v>
      </c>
      <c r="I5" s="3" t="n">
        <v>1.836</v>
      </c>
      <c r="J5" s="4" t="n">
        <v>28896</v>
      </c>
      <c r="K5" s="4" t="n">
        <v>813000</v>
      </c>
    </row>
    <row r="6" customFormat="false" ht="15" hidden="false" customHeight="false" outlineLevel="0" collapsed="false">
      <c r="A6" s="0" t="s">
        <v>30</v>
      </c>
      <c r="B6" s="0" t="n">
        <f aca="false">ROUND((Coordenadas!D6-Coordenadas!$H$2)*Coordenadas!$H$4,0)</f>
        <v>53</v>
      </c>
      <c r="C6" s="0" t="n">
        <f aca="false">ROUND((Coordenadas!B6-Coordenadas!$H$3)*Coordenadas!$H$4,0)</f>
        <v>81</v>
      </c>
      <c r="D6" s="0" t="s">
        <v>22</v>
      </c>
      <c r="E6" s="0" t="s">
        <v>31</v>
      </c>
      <c r="F6" s="0" t="s">
        <v>28</v>
      </c>
      <c r="G6" s="0" t="s">
        <v>32</v>
      </c>
      <c r="H6" s="2" t="n">
        <v>0.644</v>
      </c>
      <c r="I6" s="3" t="n">
        <v>0.401</v>
      </c>
      <c r="J6" s="4" t="n">
        <v>811</v>
      </c>
      <c r="K6" s="4" t="n">
        <v>131000</v>
      </c>
    </row>
    <row r="7" customFormat="false" ht="15" hidden="false" customHeight="false" outlineLevel="0" collapsed="false">
      <c r="A7" s="0" t="s">
        <v>22</v>
      </c>
      <c r="B7" s="0" t="n">
        <f aca="false">ROUND((Coordenadas!D7-Coordenadas!$H$2)*Coordenadas!$H$4,0)</f>
        <v>-12</v>
      </c>
      <c r="C7" s="0" t="n">
        <f aca="false">ROUND((Coordenadas!B7-Coordenadas!$H$3)*Coordenadas!$H$4,0)</f>
        <v>105</v>
      </c>
      <c r="D7" s="0" t="s">
        <v>22</v>
      </c>
      <c r="E7" s="0" t="s">
        <v>33</v>
      </c>
      <c r="F7" s="0" t="s">
        <v>24</v>
      </c>
      <c r="G7" s="0" t="s">
        <v>34</v>
      </c>
      <c r="H7" s="2" t="n">
        <v>0.615</v>
      </c>
      <c r="I7" s="3" t="n">
        <v>0.521</v>
      </c>
      <c r="J7" s="4" t="n">
        <v>702</v>
      </c>
      <c r="K7" s="4" t="n">
        <v>94500</v>
      </c>
    </row>
    <row r="8" customFormat="false" ht="15" hidden="false" customHeight="false" outlineLevel="0" collapsed="false">
      <c r="A8" s="0" t="s">
        <v>35</v>
      </c>
      <c r="B8" s="0" t="n">
        <f aca="false">ROUND((Coordenadas!D8-Coordenadas!$H$2)*Coordenadas!$H$4,0)</f>
        <v>26</v>
      </c>
      <c r="C8" s="0" t="n">
        <f aca="false">ROUND((Coordenadas!B8-Coordenadas!$H$3)*Coordenadas!$H$4,0)</f>
        <v>73</v>
      </c>
      <c r="D8" s="0" t="s">
        <v>22</v>
      </c>
      <c r="E8" s="0" t="s">
        <v>36</v>
      </c>
      <c r="F8" s="0" t="s">
        <v>14</v>
      </c>
      <c r="G8" s="0" t="s">
        <v>37</v>
      </c>
      <c r="H8" s="2" t="n">
        <v>0.703</v>
      </c>
      <c r="I8" s="3" t="n">
        <v>0.196</v>
      </c>
      <c r="J8" s="4" t="n">
        <v>21</v>
      </c>
      <c r="K8" s="4" t="n">
        <v>12200</v>
      </c>
    </row>
    <row r="9" customFormat="false" ht="15" hidden="false" customHeight="false" outlineLevel="0" collapsed="false">
      <c r="A9" s="0" t="s">
        <v>38</v>
      </c>
      <c r="B9" s="0" t="n">
        <f aca="false">ROUND((Coordenadas!D9-Coordenadas!$H$2)*Coordenadas!$H$4,0)</f>
        <v>52</v>
      </c>
      <c r="C9" s="0" t="n">
        <f aca="false">ROUND((Coordenadas!B9-Coordenadas!$H$3)*Coordenadas!$H$4,0)</f>
        <v>-100</v>
      </c>
      <c r="D9" s="0" t="s">
        <v>12</v>
      </c>
      <c r="E9" s="0" t="s">
        <v>39</v>
      </c>
      <c r="F9" s="0" t="s">
        <v>19</v>
      </c>
      <c r="G9" s="0" t="s">
        <v>40</v>
      </c>
      <c r="H9" s="2" t="n">
        <v>0.938</v>
      </c>
      <c r="I9" s="3" t="n">
        <v>278.6</v>
      </c>
      <c r="J9" s="4" t="n">
        <v>268838</v>
      </c>
      <c r="K9" s="4" t="n">
        <v>5356000</v>
      </c>
    </row>
    <row r="10" customFormat="false" ht="15" hidden="false" customHeight="false" outlineLevel="0" collapsed="false">
      <c r="A10" s="0" t="s">
        <v>41</v>
      </c>
      <c r="B10" s="0" t="n">
        <f aca="false">ROUND((Coordenadas!D10-Coordenadas!$H$2)*Coordenadas!$H$4,0)</f>
        <v>-116</v>
      </c>
      <c r="C10" s="0" t="n">
        <f aca="false">ROUND((Coordenadas!B10-Coordenadas!$H$3)*Coordenadas!$H$4,0)</f>
        <v>108</v>
      </c>
      <c r="D10" s="0" t="s">
        <v>22</v>
      </c>
      <c r="E10" s="0" t="s">
        <v>42</v>
      </c>
      <c r="F10" s="0" t="s">
        <v>43</v>
      </c>
      <c r="G10" s="0" t="s">
        <v>44</v>
      </c>
      <c r="H10" s="2" t="n">
        <v>0.786</v>
      </c>
      <c r="I10" s="3" t="n">
        <v>0.377</v>
      </c>
      <c r="J10" s="4" t="n">
        <v>459</v>
      </c>
      <c r="K10" s="4" t="n">
        <v>17500</v>
      </c>
    </row>
    <row r="11" customFormat="false" ht="15" hidden="false" customHeight="false" outlineLevel="0" collapsed="false">
      <c r="A11" s="0" t="s">
        <v>45</v>
      </c>
      <c r="B11" s="0" t="n">
        <f aca="false">ROUND((Coordenadas!D11-Coordenadas!$H$2)*Coordenadas!$H$4,0)</f>
        <v>-75</v>
      </c>
      <c r="C11" s="0" t="n">
        <f aca="false">ROUND((Coordenadas!B11-Coordenadas!$H$3)*Coordenadas!$H$4,0)</f>
        <v>50</v>
      </c>
      <c r="D11" s="0" t="s">
        <v>17</v>
      </c>
      <c r="E11" s="0" t="s">
        <v>46</v>
      </c>
      <c r="F11" s="0" t="s">
        <v>47</v>
      </c>
      <c r="G11" s="0" t="s">
        <v>48</v>
      </c>
      <c r="H11" s="2" t="n">
        <v>0.576</v>
      </c>
      <c r="I11" s="3" t="n">
        <v>34.4</v>
      </c>
      <c r="J11" s="4" t="n">
        <v>462840</v>
      </c>
      <c r="K11" s="4" t="n">
        <v>13071000</v>
      </c>
    </row>
    <row r="12" customFormat="false" ht="15" hidden="false" customHeight="false" outlineLevel="0" collapsed="false">
      <c r="A12" s="0" t="s">
        <v>49</v>
      </c>
      <c r="B12" s="0" t="n">
        <f aca="false">ROUND((Coordenadas!D12-Coordenadas!$H$2)*Coordenadas!$H$4,0)</f>
        <v>117</v>
      </c>
      <c r="C12" s="0" t="n">
        <f aca="false">ROUND((Coordenadas!B12-Coordenadas!$H$3)*Coordenadas!$H$4,0)</f>
        <v>15</v>
      </c>
      <c r="D12" s="0" t="s">
        <v>50</v>
      </c>
      <c r="E12" s="0" t="s">
        <v>51</v>
      </c>
      <c r="F12" s="0" t="s">
        <v>19</v>
      </c>
      <c r="G12" s="0" t="s">
        <v>52</v>
      </c>
      <c r="H12" s="2" t="n">
        <v>0.708</v>
      </c>
      <c r="I12" s="3" t="n">
        <v>1.376</v>
      </c>
      <c r="J12" s="4" t="n">
        <v>2831</v>
      </c>
      <c r="K12" s="4" t="n">
        <v>213000</v>
      </c>
    </row>
    <row r="13" customFormat="false" ht="15" hidden="false" customHeight="false" outlineLevel="0" collapsed="false">
      <c r="A13" s="0" t="s">
        <v>53</v>
      </c>
      <c r="B13" s="0" t="n">
        <f aca="false">ROUND((Coordenadas!D13-Coordenadas!$H$2)*Coordenadas!$H$4,0)</f>
        <v>105</v>
      </c>
      <c r="C13" s="0" t="n">
        <f aca="false">ROUND((Coordenadas!B13-Coordenadas!$H$3)*Coordenadas!$H$4,0)</f>
        <v>-19</v>
      </c>
      <c r="D13" s="0" t="s">
        <v>50</v>
      </c>
      <c r="E13" s="0" t="s">
        <v>54</v>
      </c>
      <c r="F13" s="0" t="s">
        <v>19</v>
      </c>
      <c r="G13" s="0" t="s">
        <v>55</v>
      </c>
      <c r="H13" s="2" t="n">
        <v>0.769</v>
      </c>
      <c r="I13" s="3" t="n">
        <v>0.716</v>
      </c>
      <c r="J13" s="4" t="n">
        <v>747</v>
      </c>
      <c r="K13" s="4" t="n">
        <v>98900</v>
      </c>
    </row>
    <row r="14" customFormat="false" ht="15" hidden="false" customHeight="false" outlineLevel="0" collapsed="false">
      <c r="A14" s="0" t="s">
        <v>56</v>
      </c>
      <c r="B14" s="0" t="n">
        <f aca="false">ROUND((Coordenadas!D14-Coordenadas!$H$2)*Coordenadas!$H$4,0)</f>
        <v>80</v>
      </c>
      <c r="C14" s="0" t="n">
        <f aca="false">ROUND((Coordenadas!B14-Coordenadas!$H$3)*Coordenadas!$H$4,0)</f>
        <v>37</v>
      </c>
      <c r="D14" s="0" t="s">
        <v>50</v>
      </c>
      <c r="E14" s="0" t="s">
        <v>57</v>
      </c>
      <c r="F14" s="0" t="s">
        <v>28</v>
      </c>
      <c r="G14" s="0" t="s">
        <v>58</v>
      </c>
      <c r="H14" s="2" t="n">
        <v>0.689</v>
      </c>
      <c r="I14" s="3" t="n">
        <v>0.065</v>
      </c>
      <c r="J14" s="4" t="n">
        <v>26</v>
      </c>
      <c r="K14" s="4" t="n">
        <v>9900</v>
      </c>
    </row>
    <row r="15" customFormat="false" ht="15" hidden="false" customHeight="false" outlineLevel="0" collapsed="false">
      <c r="A15" s="0" t="s">
        <v>59</v>
      </c>
      <c r="B15" s="0" t="n">
        <f aca="false">ROUND((Coordenadas!D15-Coordenadas!$H$2)*Coordenadas!$H$4,0)</f>
        <v>26</v>
      </c>
      <c r="C15" s="0" t="n">
        <f aca="false">ROUND((Coordenadas!B15-Coordenadas!$H$3)*Coordenadas!$H$4,0)</f>
        <v>7</v>
      </c>
      <c r="D15" s="0" t="s">
        <v>17</v>
      </c>
      <c r="E15" s="0" t="s">
        <v>60</v>
      </c>
      <c r="F15" s="0" t="s">
        <v>28</v>
      </c>
      <c r="G15" s="0" t="s">
        <v>61</v>
      </c>
      <c r="H15" s="2" t="n">
        <v>0.621</v>
      </c>
      <c r="I15" s="3" t="n">
        <v>1.396</v>
      </c>
      <c r="J15" s="4" t="n">
        <v>12189</v>
      </c>
      <c r="K15" s="4" t="n">
        <v>342000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1" t="s">
        <v>0</v>
      </c>
      <c r="B1" s="1" t="s">
        <v>62</v>
      </c>
      <c r="C1" s="1" t="s">
        <v>63</v>
      </c>
      <c r="D1" s="1" t="s">
        <v>64</v>
      </c>
      <c r="G1" s="5" t="s">
        <v>65</v>
      </c>
    </row>
    <row r="2" customFormat="false" ht="15" hidden="false" customHeight="false" outlineLevel="0" collapsed="false">
      <c r="A2" s="0" t="s">
        <v>11</v>
      </c>
      <c r="B2" s="6" t="n">
        <v>-24.1295</v>
      </c>
      <c r="C2" s="6" t="n">
        <v>134.0497</v>
      </c>
      <c r="D2" s="7" t="n">
        <f aca="false">IF(C2&lt;0,C2+360,C2)</f>
        <v>134.0497</v>
      </c>
      <c r="G2" s="7" t="s">
        <v>66</v>
      </c>
      <c r="H2" s="8" t="n">
        <v>161</v>
      </c>
    </row>
    <row r="3" customFormat="false" ht="15" hidden="false" customHeight="false" outlineLevel="0" collapsed="false">
      <c r="A3" s="0" t="s">
        <v>16</v>
      </c>
      <c r="B3" s="6" t="n">
        <v>-17.8261</v>
      </c>
      <c r="C3" s="6" t="n">
        <v>177.9754</v>
      </c>
      <c r="D3" s="7" t="n">
        <f aca="false">IF(C3&lt;0,C3+360,C3)</f>
        <v>177.9754</v>
      </c>
      <c r="G3" s="7" t="s">
        <v>67</v>
      </c>
      <c r="H3" s="8" t="n">
        <v>-17</v>
      </c>
    </row>
    <row r="4" customFormat="false" ht="15" hidden="false" customHeight="false" outlineLevel="0" collapsed="false">
      <c r="A4" s="0" t="s">
        <v>21</v>
      </c>
      <c r="B4" s="6" t="n">
        <v>7.0826</v>
      </c>
      <c r="C4" s="6" t="n">
        <v>171.1936</v>
      </c>
      <c r="D4" s="7" t="n">
        <f aca="false">IF(C4&lt;0,C4+360,C4)</f>
        <v>171.1936</v>
      </c>
      <c r="G4" s="7" t="s">
        <v>68</v>
      </c>
      <c r="H4" s="8" t="n">
        <v>4.4</v>
      </c>
    </row>
    <row r="5" customFormat="false" ht="15" hidden="false" customHeight="false" outlineLevel="0" collapsed="false">
      <c r="A5" s="0" t="s">
        <v>26</v>
      </c>
      <c r="B5" s="6" t="n">
        <v>-8.0295</v>
      </c>
      <c r="C5" s="6" t="n">
        <v>159.1705</v>
      </c>
      <c r="D5" s="7" t="n">
        <f aca="false">IF(C5&lt;0,C5+360,C5)</f>
        <v>159.1705</v>
      </c>
    </row>
    <row r="6" customFormat="false" ht="15" hidden="false" customHeight="false" outlineLevel="0" collapsed="false">
      <c r="A6" s="0" t="s">
        <v>30</v>
      </c>
      <c r="B6" s="6" t="n">
        <v>1.4</v>
      </c>
      <c r="C6" s="6" t="n">
        <v>173</v>
      </c>
      <c r="D6" s="7" t="n">
        <f aca="false">IF(C6&lt;0,C6+360,C6)</f>
        <v>173</v>
      </c>
      <c r="G6" s="7" t="s">
        <v>69</v>
      </c>
    </row>
    <row r="7" customFormat="false" ht="15" hidden="false" customHeight="false" outlineLevel="0" collapsed="false">
      <c r="A7" s="0" t="s">
        <v>22</v>
      </c>
      <c r="B7" s="6" t="n">
        <v>6.8876</v>
      </c>
      <c r="C7" s="6" t="n">
        <v>158.234</v>
      </c>
      <c r="D7" s="7" t="n">
        <f aca="false">IF(C7&lt;0,C7+360,C7)</f>
        <v>158.234</v>
      </c>
      <c r="G7" s="7" t="s">
        <v>70</v>
      </c>
    </row>
    <row r="8" customFormat="false" ht="15" hidden="false" customHeight="false" outlineLevel="0" collapsed="false">
      <c r="A8" s="0" t="s">
        <v>35</v>
      </c>
      <c r="B8" s="6" t="n">
        <v>-0.5203</v>
      </c>
      <c r="C8" s="6" t="n">
        <v>166.9326</v>
      </c>
      <c r="D8" s="7" t="n">
        <f aca="false">IF(C8&lt;0,C8+360,C8)</f>
        <v>166.9326</v>
      </c>
      <c r="G8" s="7" t="s">
        <v>71</v>
      </c>
    </row>
    <row r="9" customFormat="false" ht="15" hidden="false" customHeight="false" outlineLevel="0" collapsed="false">
      <c r="A9" s="0" t="s">
        <v>38</v>
      </c>
      <c r="B9" s="6" t="n">
        <v>-39.759</v>
      </c>
      <c r="C9" s="6" t="n">
        <v>172.787</v>
      </c>
      <c r="D9" s="7" t="n">
        <f aca="false">IF(C9&lt;0,C9+360,C9)</f>
        <v>172.787</v>
      </c>
      <c r="G9" s="7" t="s">
        <v>72</v>
      </c>
    </row>
    <row r="10" customFormat="false" ht="15" hidden="false" customHeight="false" outlineLevel="0" collapsed="false">
      <c r="A10" s="0" t="s">
        <v>41</v>
      </c>
      <c r="B10" s="6" t="n">
        <v>7.5183</v>
      </c>
      <c r="C10" s="6" t="n">
        <v>134.5802</v>
      </c>
      <c r="D10" s="7" t="n">
        <f aca="false">IF(C10&lt;0,C10+360,C10)</f>
        <v>134.5802</v>
      </c>
      <c r="G10" s="7" t="s">
        <v>73</v>
      </c>
    </row>
    <row r="11" customFormat="false" ht="15" hidden="false" customHeight="false" outlineLevel="0" collapsed="false">
      <c r="A11" s="0" t="s">
        <v>45</v>
      </c>
      <c r="B11" s="6" t="n">
        <v>-5.6953</v>
      </c>
      <c r="C11" s="6" t="n">
        <v>143.9102</v>
      </c>
      <c r="D11" s="7" t="n">
        <f aca="false">IF(C11&lt;0,C11+360,C11)</f>
        <v>143.9102</v>
      </c>
    </row>
    <row r="12" customFormat="false" ht="15" hidden="false" customHeight="false" outlineLevel="0" collapsed="false">
      <c r="A12" s="0" t="s">
        <v>49</v>
      </c>
      <c r="B12" s="6" t="n">
        <v>-13.6391</v>
      </c>
      <c r="C12" s="6" t="n">
        <v>-172.4382</v>
      </c>
      <c r="D12" s="7" t="n">
        <f aca="false">IF(C12&lt;0,C12+360,C12)</f>
        <v>187.5618</v>
      </c>
    </row>
    <row r="13" customFormat="false" ht="15" hidden="false" customHeight="false" outlineLevel="0" collapsed="false">
      <c r="A13" s="0" t="s">
        <v>53</v>
      </c>
      <c r="B13" s="6" t="n">
        <v>-21.21</v>
      </c>
      <c r="C13" s="6" t="n">
        <v>-175.163</v>
      </c>
      <c r="D13" s="7" t="n">
        <f aca="false">IF(C13&lt;0,C13+360,C13)</f>
        <v>184.837</v>
      </c>
    </row>
    <row r="14" customFormat="false" ht="15" hidden="false" customHeight="false" outlineLevel="0" collapsed="false">
      <c r="A14" s="0" t="s">
        <v>56</v>
      </c>
      <c r="B14" s="6" t="n">
        <v>-8.5137</v>
      </c>
      <c r="C14" s="6" t="n">
        <v>179.2096</v>
      </c>
      <c r="D14" s="7" t="n">
        <f aca="false">IF(C14&lt;0,C14+360,C14)</f>
        <v>179.2096</v>
      </c>
    </row>
    <row r="15" customFormat="false" ht="15" hidden="false" customHeight="false" outlineLevel="0" collapsed="false">
      <c r="A15" s="0" t="s">
        <v>59</v>
      </c>
      <c r="B15" s="6" t="n">
        <v>-15.3715</v>
      </c>
      <c r="C15" s="6" t="n">
        <v>166.9088</v>
      </c>
      <c r="D15" s="7" t="n">
        <f aca="false">IF(C15&lt;0,C15+360,C15)</f>
        <v>166.9088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9" t="s">
        <v>74</v>
      </c>
    </row>
    <row r="3" customFormat="false" ht="15" hidden="false" customHeight="false" outlineLevel="0" collapsed="false">
      <c r="A3" s="5" t="s">
        <v>75</v>
      </c>
      <c r="B3" s="5" t="s">
        <v>76</v>
      </c>
    </row>
    <row r="4" customFormat="false" ht="28.35" hidden="false" customHeight="false" outlineLevel="0" collapsed="false">
      <c r="A4" s="10" t="s">
        <v>77</v>
      </c>
      <c r="B4" s="11" t="s">
        <v>78</v>
      </c>
    </row>
    <row r="5" customFormat="false" ht="15" hidden="false" customHeight="false" outlineLevel="0" collapsed="false">
      <c r="A5" s="10" t="s">
        <v>79</v>
      </c>
      <c r="B5" s="11" t="s">
        <v>80</v>
      </c>
    </row>
    <row r="6" customFormat="false" ht="15" hidden="false" customHeight="false" outlineLevel="0" collapsed="false">
      <c r="A6" s="10" t="s">
        <v>81</v>
      </c>
      <c r="B6" s="11" t="s">
        <v>82</v>
      </c>
    </row>
    <row r="7" customFormat="false" ht="28.35" hidden="false" customHeight="false" outlineLevel="0" collapsed="false">
      <c r="A7" s="10" t="s">
        <v>3</v>
      </c>
      <c r="B7" s="11" t="s">
        <v>83</v>
      </c>
    </row>
    <row r="8" customFormat="false" ht="15" hidden="false" customHeight="false" outlineLevel="0" collapsed="false">
      <c r="A8" s="10" t="s">
        <v>7</v>
      </c>
      <c r="B8" s="11" t="s">
        <v>84</v>
      </c>
    </row>
    <row r="9" customFormat="false" ht="28.35" hidden="false" customHeight="false" outlineLevel="0" collapsed="false">
      <c r="A9" s="10" t="s">
        <v>8</v>
      </c>
      <c r="B9" s="11" t="s">
        <v>85</v>
      </c>
    </row>
    <row r="10" customFormat="false" ht="15" hidden="false" customHeight="false" outlineLevel="0" collapsed="false">
      <c r="A10" s="10" t="s">
        <v>10</v>
      </c>
      <c r="B10" s="11" t="s">
        <v>86</v>
      </c>
    </row>
    <row r="11" customFormat="false" ht="15" hidden="false" customHeight="false" outlineLevel="0" collapsed="false">
      <c r="A11" s="10" t="s">
        <v>9</v>
      </c>
      <c r="B11" s="11" t="s">
        <v>87</v>
      </c>
    </row>
    <row r="12" customFormat="false" ht="15" hidden="false" customHeight="false" outlineLevel="0" collapsed="false">
      <c r="A12" s="10" t="s">
        <v>4</v>
      </c>
      <c r="B12" s="11" t="s">
        <v>88</v>
      </c>
    </row>
    <row r="13" customFormat="false" ht="28.35" hidden="false" customHeight="false" outlineLevel="0" collapsed="false">
      <c r="A13" s="10" t="s">
        <v>5</v>
      </c>
      <c r="B13" s="11" t="s">
        <v>89</v>
      </c>
    </row>
    <row r="14" customFormat="false" ht="15" hidden="false" customHeight="false" outlineLevel="0" collapsed="false">
      <c r="A14" s="10" t="s">
        <v>6</v>
      </c>
      <c r="B14" s="1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2026-09-11T20:08:29Z</dcterms:created>
  <dc:creator>openpyxl</dc:creator>
  <dc:description/>
  <dc:language>en-US</dc:language>
  <cp:lastModifiedBy/>
  <dcterms:modified xsi:type="dcterms:W3CDTF">2026-09-11T20:08:29Z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