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ordenadas" sheetId="2" state="visible" r:id="rId4"/>
    <sheet name="Notas e fo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6" authorId="0">
      <text>
        <r>
          <rPr>
            <sz val="10"/>
            <rFont val="Arial"/>
            <family val="2"/>
          </rPr>
          <t xml:space="preserve">Eritreia: dado mais recente do FMI é de 2019 (PIB e população).</t>
        </r>
      </text>
    </comment>
  </commentList>
</comments>
</file>

<file path=xl/sharedStrings.xml><?xml version="1.0" encoding="utf-8"?>
<sst xmlns="http://schemas.openxmlformats.org/spreadsheetml/2006/main" count="428" uniqueCount="192">
  <si>
    <t xml:space="preserve">País</t>
  </si>
  <si>
    <t xml:space="preserve">Coordenada X</t>
  </si>
  <si>
    <t xml:space="preserve">Coordenada Y</t>
  </si>
  <si>
    <t xml:space="preserve">Região</t>
  </si>
  <si>
    <t xml:space="preserve">Idioma principal</t>
  </si>
  <si>
    <t xml:space="preserve">Esporte mais popular</t>
  </si>
  <si>
    <t xml:space="preserve">Economia</t>
  </si>
  <si>
    <t xml:space="preserve">IDH</t>
  </si>
  <si>
    <t xml:space="preserve">PIB (Bilhões de Dolares)</t>
  </si>
  <si>
    <t xml:space="preserve">Área (km²)</t>
  </si>
  <si>
    <t xml:space="preserve">População</t>
  </si>
  <si>
    <t xml:space="preserve">Norte ou Subsaariana</t>
  </si>
  <si>
    <t xml:space="preserve">África do Sul</t>
  </si>
  <si>
    <t xml:space="preserve">África Austral</t>
  </si>
  <si>
    <t xml:space="preserve">Zulu, Xhosa, Africâner e Inglês</t>
  </si>
  <si>
    <t xml:space="preserve">Futebol</t>
  </si>
  <si>
    <t xml:space="preserve">Economia mais industrializada do continente, mineração, indústria e serviços</t>
  </si>
  <si>
    <t xml:space="preserve">África Subsaariana</t>
  </si>
  <si>
    <t xml:space="preserve">Angola</t>
  </si>
  <si>
    <t xml:space="preserve">África Central</t>
  </si>
  <si>
    <t xml:space="preserve">Português</t>
  </si>
  <si>
    <t xml:space="preserve">Economia baseada no petróleo e diamantes</t>
  </si>
  <si>
    <t xml:space="preserve">Argélia</t>
  </si>
  <si>
    <t xml:space="preserve">África Setentrional</t>
  </si>
  <si>
    <t xml:space="preserve">Árabe e Tamazight (berbere)</t>
  </si>
  <si>
    <t xml:space="preserve">Economia baseada no petróleo e gás natural</t>
  </si>
  <si>
    <t xml:space="preserve">Benin</t>
  </si>
  <si>
    <t xml:space="preserve">África Ocidental</t>
  </si>
  <si>
    <t xml:space="preserve">Francês</t>
  </si>
  <si>
    <t xml:space="preserve">Economia em desenvolvimento, agricultura (algodão) e comércio portuário</t>
  </si>
  <si>
    <t xml:space="preserve">Botsuana</t>
  </si>
  <si>
    <t xml:space="preserve">Inglês e Tswana</t>
  </si>
  <si>
    <t xml:space="preserve">Economia baseada na mineração de diamantes</t>
  </si>
  <si>
    <t xml:space="preserve">Burkina Faso</t>
  </si>
  <si>
    <t xml:space="preserve">Mooré e Francês</t>
  </si>
  <si>
    <t xml:space="preserve">Economia baseada na mineração de ouro e agricultura (algodão)</t>
  </si>
  <si>
    <t xml:space="preserve">Burundi</t>
  </si>
  <si>
    <t xml:space="preserve">África Oriental</t>
  </si>
  <si>
    <t xml:space="preserve">Kirundi e Francês</t>
  </si>
  <si>
    <t xml:space="preserve">Economia agrícola, café e chá</t>
  </si>
  <si>
    <t xml:space="preserve">Cabo Verde</t>
  </si>
  <si>
    <t xml:space="preserve">Português e Crioulo cabo-verdiano</t>
  </si>
  <si>
    <t xml:space="preserve">Economia baseada em turismo e serviços</t>
  </si>
  <si>
    <t xml:space="preserve">Camarões</t>
  </si>
  <si>
    <t xml:space="preserve">Francês e Inglês</t>
  </si>
  <si>
    <t xml:space="preserve">Economia diversificada, petróleo, agricultura e madeira</t>
  </si>
  <si>
    <t xml:space="preserve">Chade</t>
  </si>
  <si>
    <t xml:space="preserve">Francês e Árabe</t>
  </si>
  <si>
    <t xml:space="preserve">Economia baseada no petróleo e pecuária</t>
  </si>
  <si>
    <t xml:space="preserve">Comores</t>
  </si>
  <si>
    <t xml:space="preserve">Comoriano, Francês e Árabe</t>
  </si>
  <si>
    <t xml:space="preserve">Economia agrícola (baunilha e cravo) e remessas de emigrantes</t>
  </si>
  <si>
    <t xml:space="preserve">Costa do Marfim</t>
  </si>
  <si>
    <t xml:space="preserve">Economia emergente, maior produtor mundial de cacau</t>
  </si>
  <si>
    <t xml:space="preserve">Djibouti</t>
  </si>
  <si>
    <t xml:space="preserve">Economia baseada em serviços portuários e logística</t>
  </si>
  <si>
    <t xml:space="preserve">Egito*</t>
  </si>
  <si>
    <t xml:space="preserve">Árabe</t>
  </si>
  <si>
    <t xml:space="preserve">Economia mista, turismo, Canal de Suez e gás natural</t>
  </si>
  <si>
    <t xml:space="preserve">Eritreia</t>
  </si>
  <si>
    <t xml:space="preserve">Tigrínia e Árabe</t>
  </si>
  <si>
    <t xml:space="preserve">Economia planificada, mineração e agricultura de subsistência</t>
  </si>
  <si>
    <t xml:space="preserve">Essuatíni</t>
  </si>
  <si>
    <t xml:space="preserve">Suázi e Inglês</t>
  </si>
  <si>
    <t xml:space="preserve">Economia baseada na agricultura (cana-de-açúcar) e indústria leve</t>
  </si>
  <si>
    <t xml:space="preserve">Etiópia</t>
  </si>
  <si>
    <t xml:space="preserve">Amárico e Oromo</t>
  </si>
  <si>
    <t xml:space="preserve">Economia em desenvolvimento, agricultura (café) e manufatura</t>
  </si>
  <si>
    <t xml:space="preserve">Gabão</t>
  </si>
  <si>
    <t xml:space="preserve">Economia baseada no petróleo, manganês e madeira</t>
  </si>
  <si>
    <t xml:space="preserve">Gâmbia</t>
  </si>
  <si>
    <t xml:space="preserve">Inglês</t>
  </si>
  <si>
    <t xml:space="preserve">Economia baseada na agricultura (amendoim), turismo e remessas</t>
  </si>
  <si>
    <t xml:space="preserve">Gana</t>
  </si>
  <si>
    <t xml:space="preserve">Economia baseada em ouro, cacau e petróleo</t>
  </si>
  <si>
    <t xml:space="preserve">Guiné</t>
  </si>
  <si>
    <t xml:space="preserve">Economia baseada na mineração de bauxita e ouro</t>
  </si>
  <si>
    <t xml:space="preserve">Guiné Equatorial</t>
  </si>
  <si>
    <t xml:space="preserve">Espanhol e Francês</t>
  </si>
  <si>
    <t xml:space="preserve">Guiné-Bissau</t>
  </si>
  <si>
    <t xml:space="preserve">Português e Crioulo guineense</t>
  </si>
  <si>
    <t xml:space="preserve">Economia agrícola, castanha de caju e pesca</t>
  </si>
  <si>
    <t xml:space="preserve">Lesoto</t>
  </si>
  <si>
    <t xml:space="preserve">Sesoto e Inglês</t>
  </si>
  <si>
    <t xml:space="preserve">Economia baseada em têxteis, venda de água e remessas</t>
  </si>
  <si>
    <t xml:space="preserve">Libéria</t>
  </si>
  <si>
    <t xml:space="preserve">Economia baseada em minério de ferro, borracha e ouro</t>
  </si>
  <si>
    <t xml:space="preserve">Líbia</t>
  </si>
  <si>
    <t xml:space="preserve">Economia baseada no petróleo, afetada por conflitos</t>
  </si>
  <si>
    <t xml:space="preserve">Madagascar</t>
  </si>
  <si>
    <t xml:space="preserve">Malgaxe e Francês</t>
  </si>
  <si>
    <t xml:space="preserve">Rugby</t>
  </si>
  <si>
    <t xml:space="preserve">Economia agrícola (baunilha), mineração e turismo</t>
  </si>
  <si>
    <t xml:space="preserve">Malawi</t>
  </si>
  <si>
    <t xml:space="preserve">Chichewa e Inglês</t>
  </si>
  <si>
    <t xml:space="preserve">Economia agrícola, tabaco e chá</t>
  </si>
  <si>
    <t xml:space="preserve">Mali</t>
  </si>
  <si>
    <t xml:space="preserve">Bambara e Francês</t>
  </si>
  <si>
    <t xml:space="preserve">Economia baseada na mineração de ouro, algodão e pecuária</t>
  </si>
  <si>
    <t xml:space="preserve">Marrocos</t>
  </si>
  <si>
    <t xml:space="preserve">Economia diversificada, fosfatos, indústria automotiva e turismo</t>
  </si>
  <si>
    <t xml:space="preserve">Maurício</t>
  </si>
  <si>
    <t xml:space="preserve">Crioulo mauriciano, Inglês e Francês</t>
  </si>
  <si>
    <t xml:space="preserve">Economia baseada em serviços financeiros, turismo e têxteis</t>
  </si>
  <si>
    <t xml:space="preserve">Mauritânia</t>
  </si>
  <si>
    <t xml:space="preserve">Economia baseada em minério de ferro, ouro e pesca</t>
  </si>
  <si>
    <t xml:space="preserve">Moçambique</t>
  </si>
  <si>
    <t xml:space="preserve">Economia em desenvolvimento, gás natural, carvão e agricultura</t>
  </si>
  <si>
    <t xml:space="preserve">Namíbia</t>
  </si>
  <si>
    <t xml:space="preserve">Inglês e Oshiwambo</t>
  </si>
  <si>
    <t xml:space="preserve">Economia baseada na mineração (diamantes e urânio) e pesca</t>
  </si>
  <si>
    <t xml:space="preserve">Níger</t>
  </si>
  <si>
    <t xml:space="preserve">Hauçá e Francês</t>
  </si>
  <si>
    <t xml:space="preserve">Economia agrícola, urânio e petróleo</t>
  </si>
  <si>
    <t xml:space="preserve">Nigéria</t>
  </si>
  <si>
    <t xml:space="preserve">Inglês, Hauçá, Iorubá e Igbo</t>
  </si>
  <si>
    <t xml:space="preserve">Economia baseada no petróleo, agricultura e serviços</t>
  </si>
  <si>
    <t xml:space="preserve">Quênia</t>
  </si>
  <si>
    <t xml:space="preserve">Suaíli e Inglês</t>
  </si>
  <si>
    <t xml:space="preserve">Economia diversificada, serviços, agricultura (chá) e turismo</t>
  </si>
  <si>
    <t xml:space="preserve">República Centro-Africana</t>
  </si>
  <si>
    <t xml:space="preserve">Sango e Francês</t>
  </si>
  <si>
    <t xml:space="preserve">Economia agrícola, diamantes e madeira, afetada por conflitos</t>
  </si>
  <si>
    <t xml:space="preserve">República Democrática do Congo</t>
  </si>
  <si>
    <t xml:space="preserve">Francês e Lingala</t>
  </si>
  <si>
    <t xml:space="preserve">Economia baseada na mineração de cobre e cobalto</t>
  </si>
  <si>
    <t xml:space="preserve">República do Congo</t>
  </si>
  <si>
    <t xml:space="preserve">Economia baseada no petróleo e madeira</t>
  </si>
  <si>
    <t xml:space="preserve">Ruanda</t>
  </si>
  <si>
    <t xml:space="preserve">Kinyarwanda, Inglês e Francês</t>
  </si>
  <si>
    <t xml:space="preserve">Economia em desenvolvimento, serviços, turismo e café</t>
  </si>
  <si>
    <t xml:space="preserve">São Tomé e Príncipe</t>
  </si>
  <si>
    <t xml:space="preserve">Economia agrícola (cacau) e turismo</t>
  </si>
  <si>
    <t xml:space="preserve">Senegal</t>
  </si>
  <si>
    <t xml:space="preserve">Francês e Wolof</t>
  </si>
  <si>
    <t xml:space="preserve">Economia diversificada, pesca, agricultura, petróleo e gás</t>
  </si>
  <si>
    <t xml:space="preserve">Serra Leoa</t>
  </si>
  <si>
    <t xml:space="preserve">Inglês e Krio</t>
  </si>
  <si>
    <t xml:space="preserve">Economia baseada em mineração (diamantes e minério de ferro) e agricultura</t>
  </si>
  <si>
    <t xml:space="preserve">Seychelles</t>
  </si>
  <si>
    <t xml:space="preserve">Crioulo seichelense, Inglês e Francês</t>
  </si>
  <si>
    <t xml:space="preserve">Economia baseada no turismo e pesca de atum</t>
  </si>
  <si>
    <t xml:space="preserve">Somália</t>
  </si>
  <si>
    <t xml:space="preserve">Somali e Árabe</t>
  </si>
  <si>
    <t xml:space="preserve">Economia em crise, pecuária e remessas de emigrantes</t>
  </si>
  <si>
    <t xml:space="preserve">Sudão</t>
  </si>
  <si>
    <t xml:space="preserve">Árabe e Inglês</t>
  </si>
  <si>
    <t xml:space="preserve">Economia em crise devido ao conflito, agricultura e ouro</t>
  </si>
  <si>
    <t xml:space="preserve">Sudão do Sul</t>
  </si>
  <si>
    <t xml:space="preserve">Tanzânia</t>
  </si>
  <si>
    <t xml:space="preserve">Economia em desenvolvimento, agricultura, mineração de ouro e turismo</t>
  </si>
  <si>
    <t xml:space="preserve">Togo</t>
  </si>
  <si>
    <t xml:space="preserve">Economia baseada em fosfatos, agricultura e porto de Lomé</t>
  </si>
  <si>
    <t xml:space="preserve">Tunísia</t>
  </si>
  <si>
    <t xml:space="preserve">Economia diversificada, turismo, indústria e agricultura (azeite)</t>
  </si>
  <si>
    <t xml:space="preserve">Uganda</t>
  </si>
  <si>
    <t xml:space="preserve">Inglês e Suaíli</t>
  </si>
  <si>
    <t xml:space="preserve">Economia agrícola (café), serviços e petróleo em desenvolvimento</t>
  </si>
  <si>
    <t xml:space="preserve">Zâmbia</t>
  </si>
  <si>
    <t xml:space="preserve">Inglês e Bemba</t>
  </si>
  <si>
    <t xml:space="preserve">Economia baseada na mineração de cobre</t>
  </si>
  <si>
    <t xml:space="preserve">Zimbábue</t>
  </si>
  <si>
    <t xml:space="preserve">Inglês, Shona e Ndebele</t>
  </si>
  <si>
    <t xml:space="preserve">Economia baseada em mineração (ouro, platina e lítio) e agricultura (tabaco)</t>
  </si>
  <si>
    <t xml:space="preserve">Latitude</t>
  </si>
  <si>
    <t xml:space="preserve">Longitude</t>
  </si>
  <si>
    <t xml:space="preserve">Parâmetros da projeção</t>
  </si>
  <si>
    <t xml:space="preserve">Longitude no centro do palco (X = 0)</t>
  </si>
  <si>
    <t xml:space="preserve">Latitude no centro do palco (Y = 0)</t>
  </si>
  <si>
    <t xml:space="preserve">Escala (pixels por grau)</t>
  </si>
  <si>
    <t xml:space="preserve">Como usar: edite só as células amarelas para realinhar todos os pontos à imagem do mapa.</t>
  </si>
  <si>
    <t xml:space="preserve">X = ARRED((Longitude − G2) × G4)   |   Y = ARRED((Latitude − G3) × G4)</t>
  </si>
  <si>
    <t xml:space="preserve">Palco de 480 × 360 px com origem no centro (mesmo sistema das bases da Europa e da Ásia).</t>
  </si>
  <si>
    <t xml:space="preserve">Latitude/Longitude: ponto de rótulo do Natural Earth (fica sempre dentro do território).</t>
  </si>
  <si>
    <t xml:space="preserve">Notas e fontes</t>
  </si>
  <si>
    <t xml:space="preserve">Coluna</t>
  </si>
  <si>
    <t xml:space="preserve">Fonte / critério</t>
  </si>
  <si>
    <t xml:space="preserve">Países</t>
  </si>
  <si>
    <t xml:space="preserve">Os 54 Estados africanos membros da ONU. O Saara Ocidental (território disputado) não foi incluído por não ter IDH nem PIB oficiais.</t>
  </si>
  <si>
    <t xml:space="preserve">* (asterisco)</t>
  </si>
  <si>
    <t xml:space="preserve">País transcontinental, mesmo critério da base da Ásia: o Egito tem parte do território (Península do Sinai) na Ásia.</t>
  </si>
  <si>
    <t xml:space="preserve">Coordenada X / Y</t>
  </si>
  <si>
    <t xml:space="preserve">Calculadas a partir de latitude e longitude na aba "Coordenadas" (projeção equiretangular ajustada ao palco de 480 × 360).</t>
  </si>
  <si>
    <t xml:space="preserve">Sub-regiões da Divisão de Estatística da ONU (M49). Atenção: vários livros didáticos brasileiros colocam Zâmbia, Zimbábue, Malawi, Moçambique e Madagascar na África Austral, e o Sudão ou a Mauritânia podem variar.</t>
  </si>
  <si>
    <t xml:space="preserve">Regionalização clássica em relação ao Deserto do Saara, derivada da coluna Região (África Setentrional × demais).</t>
  </si>
  <si>
    <t xml:space="preserve">PNUD, Relatório de Desenvolvimento Humano 2025 (dados de 2023) — o mais recente publicado até set/2026.</t>
  </si>
  <si>
    <t xml:space="preserve">FMI, World Economic Outlook de abril de 2026, PIB nominal estimado para 2026. Eritreia: dado de 2019.</t>
  </si>
  <si>
    <t xml:space="preserve">FMI, World Economic Outlook de abril de 2026, estimativa para 2026 (arredondada ao milhar). Eritreia: dado de 2019.</t>
  </si>
  <si>
    <t xml:space="preserve">CIA World Factbook (área total). Marrocos sem o Saara Ocidental.</t>
  </si>
  <si>
    <t xml:space="preserve">Idiomas oficiais ou mais falados; em países com muitas línguas foram listadas as principais.</t>
  </si>
  <si>
    <t xml:space="preserve">Futebol na grande maioria; Madagascar tem o rugby como esporte nacional.</t>
  </si>
  <si>
    <t xml:space="preserve">Descrição resumida das principais atividades econômicas, no mesmo formato da base da Ásia.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</si>
</sst>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2"/>
    </font>
    <font>
      <sz val="11"/>
      <color rgb="FF0000FF"/>
      <name val="Calibri"/>
      <family val="0"/>
      <charset val="1"/>
    </font>
    <font>
      <b val="true"/>
      <sz val="1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.3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9.6"/>
    <col collapsed="false" customWidth="true" hidden="false" outlineLevel="0" max="7" min="7" style="0" width="70"/>
    <col collapsed="false" customWidth="true" hidden="false" outlineLevel="0" max="9" min="9" style="0" width="21.9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n">
        <f aca="false">ROUND((Coordenadas!C2-Coordenadas!$G$2)*Coordenadas!$G$4,0)</f>
        <v>29</v>
      </c>
      <c r="C2" s="0" t="n">
        <f aca="false">ROUND((Coordenadas!B2-Coordenadas!$G$3)*Coordenadas!$G$4,0)</f>
        <v>-136</v>
      </c>
      <c r="D2" s="0" t="s">
        <v>13</v>
      </c>
      <c r="E2" s="0" t="s">
        <v>14</v>
      </c>
      <c r="F2" s="0" t="s">
        <v>15</v>
      </c>
      <c r="G2" s="0" t="s">
        <v>16</v>
      </c>
      <c r="H2" s="2" t="n">
        <v>0.741</v>
      </c>
      <c r="I2" s="3" t="n">
        <v>480</v>
      </c>
      <c r="J2" s="4" t="n">
        <v>1219090</v>
      </c>
      <c r="K2" s="4" t="n">
        <v>63970000</v>
      </c>
      <c r="L2" s="5" t="s">
        <v>17</v>
      </c>
    </row>
    <row r="3" customFormat="false" ht="15" hidden="false" customHeight="false" outlineLevel="0" collapsed="false">
      <c r="A3" s="0" t="s">
        <v>18</v>
      </c>
      <c r="B3" s="0" t="n">
        <f aca="false">ROUND((Coordenadas!C3-Coordenadas!$G$2)*Coordenadas!$G$4,0)</f>
        <v>4</v>
      </c>
      <c r="C3" s="0" t="n">
        <f aca="false">ROUND((Coordenadas!B3-Coordenadas!$G$3)*Coordenadas!$G$4,0)</f>
        <v>-59</v>
      </c>
      <c r="D3" s="0" t="s">
        <v>19</v>
      </c>
      <c r="E3" s="0" t="s">
        <v>20</v>
      </c>
      <c r="F3" s="0" t="s">
        <v>15</v>
      </c>
      <c r="G3" s="0" t="s">
        <v>21</v>
      </c>
      <c r="H3" s="2" t="n">
        <v>0.616</v>
      </c>
      <c r="I3" s="3" t="n">
        <v>152.4</v>
      </c>
      <c r="J3" s="4" t="n">
        <v>1246700</v>
      </c>
      <c r="K3" s="4" t="n">
        <v>40584000</v>
      </c>
      <c r="L3" s="5" t="s">
        <v>17</v>
      </c>
    </row>
    <row r="4" customFormat="false" ht="15" hidden="false" customHeight="false" outlineLevel="0" collapsed="false">
      <c r="A4" s="0" t="s">
        <v>22</v>
      </c>
      <c r="B4" s="0" t="n">
        <f aca="false">ROUND((Coordenadas!C4-Coordenadas!$G$2)*Coordenadas!$G$4,0)</f>
        <v>-62</v>
      </c>
      <c r="C4" s="0" t="n">
        <f aca="false">ROUND((Coordenadas!B4-Coordenadas!$G$3)*Coordenadas!$G$4,0)</f>
        <v>115</v>
      </c>
      <c r="D4" s="0" t="s">
        <v>23</v>
      </c>
      <c r="E4" s="0" t="s">
        <v>24</v>
      </c>
      <c r="F4" s="0" t="s">
        <v>15</v>
      </c>
      <c r="G4" s="0" t="s">
        <v>25</v>
      </c>
      <c r="H4" s="2" t="n">
        <v>0.763</v>
      </c>
      <c r="I4" s="3" t="n">
        <v>317.2</v>
      </c>
      <c r="J4" s="4" t="n">
        <v>2381741</v>
      </c>
      <c r="K4" s="4" t="n">
        <v>47851000</v>
      </c>
      <c r="L4" s="5" t="s">
        <v>23</v>
      </c>
    </row>
    <row r="5" customFormat="false" ht="15" hidden="false" customHeight="false" outlineLevel="0" collapsed="false">
      <c r="A5" s="0" t="s">
        <v>26</v>
      </c>
      <c r="B5" s="0" t="n">
        <f aca="false">ROUND((Coordenadas!C5-Coordenadas!$G$2)*Coordenadas!$G$4,0)</f>
        <v>-64</v>
      </c>
      <c r="C5" s="0" t="n">
        <f aca="false">ROUND((Coordenadas!B5-Coordenadas!$G$3)*Coordenadas!$G$4,0)</f>
        <v>40</v>
      </c>
      <c r="D5" s="0" t="s">
        <v>27</v>
      </c>
      <c r="E5" s="0" t="s">
        <v>28</v>
      </c>
      <c r="F5" s="0" t="s">
        <v>15</v>
      </c>
      <c r="G5" s="0" t="s">
        <v>29</v>
      </c>
      <c r="H5" s="2" t="n">
        <v>0.515</v>
      </c>
      <c r="I5" s="3" t="n">
        <v>27.8</v>
      </c>
      <c r="J5" s="4" t="n">
        <v>112622</v>
      </c>
      <c r="K5" s="4" t="n">
        <v>15357000</v>
      </c>
      <c r="L5" s="5" t="s">
        <v>17</v>
      </c>
    </row>
    <row r="6" customFormat="false" ht="15" hidden="false" customHeight="false" outlineLevel="0" collapsed="false">
      <c r="A6" s="0" t="s">
        <v>30</v>
      </c>
      <c r="B6" s="0" t="n">
        <f aca="false">ROUND((Coordenadas!C6-Coordenadas!$G$2)*Coordenadas!$G$4,0)</f>
        <v>32</v>
      </c>
      <c r="C6" s="0" t="n">
        <f aca="false">ROUND((Coordenadas!B6-Coordenadas!$G$3)*Coordenadas!$G$4,0)</f>
        <v>-103</v>
      </c>
      <c r="D6" s="0" t="s">
        <v>13</v>
      </c>
      <c r="E6" s="0" t="s">
        <v>31</v>
      </c>
      <c r="F6" s="0" t="s">
        <v>15</v>
      </c>
      <c r="G6" s="0" t="s">
        <v>32</v>
      </c>
      <c r="H6" s="2" t="n">
        <v>0.731</v>
      </c>
      <c r="I6" s="3" t="n">
        <v>21.9</v>
      </c>
      <c r="J6" s="4" t="n">
        <v>581730</v>
      </c>
      <c r="K6" s="4" t="n">
        <v>2584000</v>
      </c>
      <c r="L6" s="5" t="s">
        <v>17</v>
      </c>
    </row>
    <row r="7" customFormat="false" ht="15" hidden="false" customHeight="false" outlineLevel="0" collapsed="false">
      <c r="A7" s="0" t="s">
        <v>33</v>
      </c>
      <c r="B7" s="0" t="n">
        <f aca="false">ROUND((Coordenadas!C7-Coordenadas!$G$2)*Coordenadas!$G$4,0)</f>
        <v>-81</v>
      </c>
      <c r="C7" s="0" t="n">
        <f aca="false">ROUND((Coordenadas!B7-Coordenadas!$G$3)*Coordenadas!$G$4,0)</f>
        <v>50</v>
      </c>
      <c r="D7" s="0" t="s">
        <v>27</v>
      </c>
      <c r="E7" s="0" t="s">
        <v>34</v>
      </c>
      <c r="F7" s="0" t="s">
        <v>15</v>
      </c>
      <c r="G7" s="0" t="s">
        <v>35</v>
      </c>
      <c r="H7" s="2" t="n">
        <v>0.459</v>
      </c>
      <c r="I7" s="3" t="n">
        <v>32.5</v>
      </c>
      <c r="J7" s="4" t="n">
        <v>274200</v>
      </c>
      <c r="K7" s="4" t="n">
        <v>24648000</v>
      </c>
      <c r="L7" s="5" t="s">
        <v>17</v>
      </c>
    </row>
    <row r="8" customFormat="false" ht="15" hidden="false" customHeight="false" outlineLevel="0" collapsed="false">
      <c r="A8" s="0" t="s">
        <v>36</v>
      </c>
      <c r="B8" s="0" t="n">
        <f aca="false">ROUND((Coordenadas!C8-Coordenadas!$G$2)*Coordenadas!$G$4,0)</f>
        <v>57</v>
      </c>
      <c r="C8" s="0" t="n">
        <f aca="false">ROUND((Coordenadas!B8-Coordenadas!$G$3)*Coordenadas!$G$4,0)</f>
        <v>-20</v>
      </c>
      <c r="D8" s="0" t="s">
        <v>37</v>
      </c>
      <c r="E8" s="0" t="s">
        <v>38</v>
      </c>
      <c r="F8" s="0" t="s">
        <v>15</v>
      </c>
      <c r="G8" s="0" t="s">
        <v>39</v>
      </c>
      <c r="H8" s="2" t="n">
        <v>0.439</v>
      </c>
      <c r="I8" s="3" t="n">
        <v>8.1</v>
      </c>
      <c r="J8" s="4" t="n">
        <v>27834</v>
      </c>
      <c r="K8" s="4" t="n">
        <v>14903000</v>
      </c>
      <c r="L8" s="5" t="s">
        <v>17</v>
      </c>
    </row>
    <row r="9" customFormat="false" ht="15" hidden="false" customHeight="false" outlineLevel="0" collapsed="false">
      <c r="A9" s="0" t="s">
        <v>40</v>
      </c>
      <c r="B9" s="0" t="n">
        <f aca="false">ROUND((Coordenadas!C9-Coordenadas!$G$2)*Coordenadas!$G$4,0)</f>
        <v>-179</v>
      </c>
      <c r="C9" s="0" t="n">
        <f aca="false">ROUND((Coordenadas!B9-Coordenadas!$G$3)*Coordenadas!$G$4,0)</f>
        <v>61</v>
      </c>
      <c r="D9" s="0" t="s">
        <v>27</v>
      </c>
      <c r="E9" s="0" t="s">
        <v>41</v>
      </c>
      <c r="F9" s="0" t="s">
        <v>15</v>
      </c>
      <c r="G9" s="0" t="s">
        <v>42</v>
      </c>
      <c r="H9" s="2" t="n">
        <v>0.668</v>
      </c>
      <c r="I9" s="3" t="n">
        <v>3.4</v>
      </c>
      <c r="J9" s="4" t="n">
        <v>4033</v>
      </c>
      <c r="K9" s="4" t="n">
        <v>517000</v>
      </c>
      <c r="L9" s="5" t="s">
        <v>17</v>
      </c>
    </row>
    <row r="10" customFormat="false" ht="15" hidden="false" customHeight="false" outlineLevel="0" collapsed="false">
      <c r="A10" s="0" t="s">
        <v>43</v>
      </c>
      <c r="B10" s="0" t="n">
        <f aca="false">ROUND((Coordenadas!C10-Coordenadas!$G$2)*Coordenadas!$G$4,0)</f>
        <v>-20</v>
      </c>
      <c r="C10" s="0" t="n">
        <f aca="false">ROUND((Coordenadas!B10-Coordenadas!$G$3)*Coordenadas!$G$4,0)</f>
        <v>15</v>
      </c>
      <c r="D10" s="0" t="s">
        <v>19</v>
      </c>
      <c r="E10" s="0" t="s">
        <v>44</v>
      </c>
      <c r="F10" s="0" t="s">
        <v>15</v>
      </c>
      <c r="G10" s="0" t="s">
        <v>45</v>
      </c>
      <c r="H10" s="2" t="n">
        <v>0.588</v>
      </c>
      <c r="I10" s="3" t="n">
        <v>65.1</v>
      </c>
      <c r="J10" s="4" t="n">
        <v>475442</v>
      </c>
      <c r="K10" s="4" t="n">
        <v>30646000</v>
      </c>
      <c r="L10" s="5" t="s">
        <v>17</v>
      </c>
    </row>
    <row r="11" customFormat="false" ht="15" hidden="false" customHeight="false" outlineLevel="0" collapsed="false">
      <c r="A11" s="0" t="s">
        <v>46</v>
      </c>
      <c r="B11" s="0" t="n">
        <f aca="false">ROUND((Coordenadas!C11-Coordenadas!$G$2)*Coordenadas!$G$4,0)</f>
        <v>7</v>
      </c>
      <c r="C11" s="0" t="n">
        <f aca="false">ROUND((Coordenadas!B11-Coordenadas!$G$3)*Coordenadas!$G$4,0)</f>
        <v>61</v>
      </c>
      <c r="D11" s="0" t="s">
        <v>19</v>
      </c>
      <c r="E11" s="0" t="s">
        <v>47</v>
      </c>
      <c r="F11" s="0" t="s">
        <v>15</v>
      </c>
      <c r="G11" s="0" t="s">
        <v>48</v>
      </c>
      <c r="H11" s="2" t="n">
        <v>0.416</v>
      </c>
      <c r="I11" s="3" t="n">
        <v>25.6</v>
      </c>
      <c r="J11" s="4" t="n">
        <v>1284000</v>
      </c>
      <c r="K11" s="4" t="n">
        <v>19491000</v>
      </c>
      <c r="L11" s="5" t="s">
        <v>17</v>
      </c>
    </row>
    <row r="12" customFormat="false" ht="15" hidden="false" customHeight="false" outlineLevel="0" collapsed="false">
      <c r="A12" s="0" t="s">
        <v>49</v>
      </c>
      <c r="B12" s="0" t="n">
        <f aca="false">ROUND((Coordenadas!C12-Coordenadas!$G$2)*Coordenadas!$G$4,0)</f>
        <v>116</v>
      </c>
      <c r="C12" s="0" t="n">
        <f aca="false">ROUND((Coordenadas!B12-Coordenadas!$G$3)*Coordenadas!$G$4,0)</f>
        <v>-57</v>
      </c>
      <c r="D12" s="0" t="s">
        <v>37</v>
      </c>
      <c r="E12" s="0" t="s">
        <v>50</v>
      </c>
      <c r="F12" s="0" t="s">
        <v>15</v>
      </c>
      <c r="G12" s="0" t="s">
        <v>51</v>
      </c>
      <c r="H12" s="2" t="n">
        <v>0.603</v>
      </c>
      <c r="I12" s="3" t="n">
        <v>1.8</v>
      </c>
      <c r="J12" s="4" t="n">
        <v>2235</v>
      </c>
      <c r="K12" s="4" t="n">
        <v>930000</v>
      </c>
      <c r="L12" s="5" t="s">
        <v>17</v>
      </c>
    </row>
    <row r="13" customFormat="false" ht="15" hidden="false" customHeight="false" outlineLevel="0" collapsed="false">
      <c r="A13" s="0" t="s">
        <v>52</v>
      </c>
      <c r="B13" s="0" t="n">
        <f aca="false">ROUND((Coordenadas!C13-Coordenadas!$G$2)*Coordenadas!$G$4,0)</f>
        <v>-99</v>
      </c>
      <c r="C13" s="0" t="n">
        <f aca="false">ROUND((Coordenadas!B13-Coordenadas!$G$3)*Coordenadas!$G$4,0)</f>
        <v>27</v>
      </c>
      <c r="D13" s="0" t="s">
        <v>27</v>
      </c>
      <c r="E13" s="0" t="s">
        <v>28</v>
      </c>
      <c r="F13" s="0" t="s">
        <v>15</v>
      </c>
      <c r="G13" s="0" t="s">
        <v>53</v>
      </c>
      <c r="H13" s="2" t="n">
        <v>0.582</v>
      </c>
      <c r="I13" s="3" t="n">
        <v>112.1</v>
      </c>
      <c r="J13" s="4" t="n">
        <v>322463</v>
      </c>
      <c r="K13" s="4" t="n">
        <v>33838000</v>
      </c>
      <c r="L13" s="5" t="s">
        <v>17</v>
      </c>
    </row>
    <row r="14" customFormat="false" ht="15" hidden="false" customHeight="false" outlineLevel="0" collapsed="false">
      <c r="A14" s="0" t="s">
        <v>54</v>
      </c>
      <c r="B14" s="0" t="n">
        <f aca="false">ROUND((Coordenadas!C14-Coordenadas!$G$2)*Coordenadas!$G$4,0)</f>
        <v>112</v>
      </c>
      <c r="C14" s="0" t="n">
        <f aca="false">ROUND((Coordenadas!B14-Coordenadas!$G$3)*Coordenadas!$G$4,0)</f>
        <v>47</v>
      </c>
      <c r="D14" s="0" t="s">
        <v>37</v>
      </c>
      <c r="E14" s="0" t="s">
        <v>47</v>
      </c>
      <c r="F14" s="0" t="s">
        <v>15</v>
      </c>
      <c r="G14" s="0" t="s">
        <v>55</v>
      </c>
      <c r="H14" s="2" t="n">
        <v>0.513</v>
      </c>
      <c r="I14" s="3" t="n">
        <v>4.7</v>
      </c>
      <c r="J14" s="4" t="n">
        <v>23200</v>
      </c>
      <c r="K14" s="4" t="n">
        <v>1069000</v>
      </c>
      <c r="L14" s="5" t="s">
        <v>17</v>
      </c>
    </row>
    <row r="15" customFormat="false" ht="15" hidden="false" customHeight="false" outlineLevel="0" collapsed="false">
      <c r="A15" s="0" t="s">
        <v>56</v>
      </c>
      <c r="B15" s="0" t="n">
        <f aca="false">ROUND((Coordenadas!C15-Coordenadas!$G$2)*Coordenadas!$G$4,0)</f>
        <v>55</v>
      </c>
      <c r="C15" s="0" t="n">
        <f aca="false">ROUND((Coordenadas!B15-Coordenadas!$G$3)*Coordenadas!$G$4,0)</f>
        <v>110</v>
      </c>
      <c r="D15" s="0" t="s">
        <v>23</v>
      </c>
      <c r="E15" s="0" t="s">
        <v>57</v>
      </c>
      <c r="F15" s="0" t="s">
        <v>15</v>
      </c>
      <c r="G15" s="0" t="s">
        <v>58</v>
      </c>
      <c r="H15" s="2" t="n">
        <v>0.754</v>
      </c>
      <c r="I15" s="3" t="n">
        <v>429.6</v>
      </c>
      <c r="J15" s="4" t="n">
        <v>1001450</v>
      </c>
      <c r="K15" s="4" t="n">
        <v>110058000</v>
      </c>
      <c r="L15" s="5" t="s">
        <v>23</v>
      </c>
    </row>
    <row r="16" customFormat="false" ht="15" hidden="false" customHeight="false" outlineLevel="0" collapsed="false">
      <c r="A16" s="0" t="s">
        <v>59</v>
      </c>
      <c r="B16" s="0" t="n">
        <f aca="false">ROUND((Coordenadas!C16-Coordenadas!$G$2)*Coordenadas!$G$4,0)</f>
        <v>94</v>
      </c>
      <c r="C16" s="0" t="n">
        <f aca="false">ROUND((Coordenadas!B16-Coordenadas!$G$3)*Coordenadas!$G$4,0)</f>
        <v>64</v>
      </c>
      <c r="D16" s="0" t="s">
        <v>37</v>
      </c>
      <c r="E16" s="0" t="s">
        <v>60</v>
      </c>
      <c r="F16" s="0" t="s">
        <v>15</v>
      </c>
      <c r="G16" s="0" t="s">
        <v>61</v>
      </c>
      <c r="H16" s="2" t="n">
        <v>0.503</v>
      </c>
      <c r="I16" s="3" t="n">
        <v>2</v>
      </c>
      <c r="J16" s="4" t="n">
        <v>117600</v>
      </c>
      <c r="K16" s="4" t="n">
        <v>3497000</v>
      </c>
      <c r="L16" s="5" t="s">
        <v>17</v>
      </c>
    </row>
    <row r="17" customFormat="false" ht="15" hidden="false" customHeight="false" outlineLevel="0" collapsed="false">
      <c r="A17" s="0" t="s">
        <v>62</v>
      </c>
      <c r="B17" s="0" t="n">
        <f aca="false">ROUND((Coordenadas!C17-Coordenadas!$G$2)*Coordenadas!$G$4,0)</f>
        <v>64</v>
      </c>
      <c r="C17" s="0" t="n">
        <f aca="false">ROUND((Coordenadas!B17-Coordenadas!$G$3)*Coordenadas!$G$4,0)</f>
        <v>-122</v>
      </c>
      <c r="D17" s="0" t="s">
        <v>13</v>
      </c>
      <c r="E17" s="0" t="s">
        <v>63</v>
      </c>
      <c r="F17" s="0" t="s">
        <v>15</v>
      </c>
      <c r="G17" s="0" t="s">
        <v>64</v>
      </c>
      <c r="H17" s="2" t="n">
        <v>0.695</v>
      </c>
      <c r="I17" s="3" t="n">
        <v>5.8</v>
      </c>
      <c r="J17" s="4" t="n">
        <v>17364</v>
      </c>
      <c r="K17" s="4" t="n">
        <v>1176000</v>
      </c>
      <c r="L17" s="5" t="s">
        <v>17</v>
      </c>
    </row>
    <row r="18" customFormat="false" ht="15" hidden="false" customHeight="false" outlineLevel="0" collapsed="false">
      <c r="A18" s="0" t="s">
        <v>65</v>
      </c>
      <c r="B18" s="0" t="n">
        <f aca="false">ROUND((Coordenadas!C18-Coordenadas!$G$2)*Coordenadas!$G$4,0)</f>
        <v>97</v>
      </c>
      <c r="C18" s="0" t="n">
        <f aca="false">ROUND((Coordenadas!B18-Coordenadas!$G$3)*Coordenadas!$G$4,0)</f>
        <v>30</v>
      </c>
      <c r="D18" s="0" t="s">
        <v>37</v>
      </c>
      <c r="E18" s="0" t="s">
        <v>66</v>
      </c>
      <c r="F18" s="0" t="s">
        <v>15</v>
      </c>
      <c r="G18" s="0" t="s">
        <v>67</v>
      </c>
      <c r="H18" s="2" t="n">
        <v>0.497</v>
      </c>
      <c r="I18" s="3" t="n">
        <v>121.5</v>
      </c>
      <c r="J18" s="4" t="n">
        <v>1104300</v>
      </c>
      <c r="K18" s="4" t="n">
        <v>112370000</v>
      </c>
      <c r="L18" s="5" t="s">
        <v>17</v>
      </c>
    </row>
    <row r="19" customFormat="false" ht="15" hidden="false" customHeight="false" outlineLevel="0" collapsed="false">
      <c r="A19" s="0" t="s">
        <v>68</v>
      </c>
      <c r="B19" s="0" t="n">
        <f aca="false">ROUND((Coordenadas!C19-Coordenadas!$G$2)*Coordenadas!$G$4,0)</f>
        <v>-23</v>
      </c>
      <c r="C19" s="0" t="n">
        <f aca="false">ROUND((Coordenadas!B19-Coordenadas!$G$3)*Coordenadas!$G$4,0)</f>
        <v>-7</v>
      </c>
      <c r="D19" s="0" t="s">
        <v>19</v>
      </c>
      <c r="E19" s="0" t="s">
        <v>28</v>
      </c>
      <c r="F19" s="0" t="s">
        <v>15</v>
      </c>
      <c r="G19" s="0" t="s">
        <v>69</v>
      </c>
      <c r="H19" s="2" t="n">
        <v>0.733</v>
      </c>
      <c r="I19" s="3" t="n">
        <v>23.4</v>
      </c>
      <c r="J19" s="4" t="n">
        <v>267668</v>
      </c>
      <c r="K19" s="4" t="n">
        <v>2356000</v>
      </c>
      <c r="L19" s="5" t="s">
        <v>17</v>
      </c>
    </row>
    <row r="20" customFormat="false" ht="15" hidden="false" customHeight="false" outlineLevel="0" collapsed="false">
      <c r="A20" s="0" t="s">
        <v>70</v>
      </c>
      <c r="B20" s="0" t="n">
        <f aca="false">ROUND((Coordenadas!C20-Coordenadas!$G$2)*Coordenadas!$G$4,0)</f>
        <v>-141</v>
      </c>
      <c r="C20" s="0" t="n">
        <f aca="false">ROUND((Coordenadas!B20-Coordenadas!$G$3)*Coordenadas!$G$4,0)</f>
        <v>55</v>
      </c>
      <c r="D20" s="0" t="s">
        <v>27</v>
      </c>
      <c r="E20" s="0" t="s">
        <v>71</v>
      </c>
      <c r="F20" s="0" t="s">
        <v>15</v>
      </c>
      <c r="G20" s="0" t="s">
        <v>72</v>
      </c>
      <c r="H20" s="2" t="n">
        <v>0.524</v>
      </c>
      <c r="I20" s="3" t="n">
        <v>2.8</v>
      </c>
      <c r="J20" s="4" t="n">
        <v>11300</v>
      </c>
      <c r="K20" s="4" t="n">
        <v>2930000</v>
      </c>
      <c r="L20" s="5" t="s">
        <v>17</v>
      </c>
    </row>
    <row r="21" customFormat="false" ht="15" hidden="false" customHeight="false" outlineLevel="0" collapsed="false">
      <c r="A21" s="0" t="s">
        <v>73</v>
      </c>
      <c r="B21" s="0" t="n">
        <f aca="false">ROUND((Coordenadas!C21-Coordenadas!$G$2)*Coordenadas!$G$4,0)</f>
        <v>-79</v>
      </c>
      <c r="C21" s="0" t="n">
        <f aca="false">ROUND((Coordenadas!B21-Coordenadas!$G$3)*Coordenadas!$G$4,0)</f>
        <v>28</v>
      </c>
      <c r="D21" s="0" t="s">
        <v>27</v>
      </c>
      <c r="E21" s="0" t="s">
        <v>71</v>
      </c>
      <c r="F21" s="0" t="s">
        <v>15</v>
      </c>
      <c r="G21" s="0" t="s">
        <v>74</v>
      </c>
      <c r="H21" s="2" t="n">
        <v>0.628</v>
      </c>
      <c r="I21" s="3" t="n">
        <v>118.3</v>
      </c>
      <c r="J21" s="4" t="n">
        <v>238533</v>
      </c>
      <c r="K21" s="4" t="n">
        <v>35698000</v>
      </c>
      <c r="L21" s="5" t="s">
        <v>17</v>
      </c>
    </row>
    <row r="22" customFormat="false" ht="15" hidden="false" customHeight="false" outlineLevel="0" collapsed="false">
      <c r="A22" s="0" t="s">
        <v>75</v>
      </c>
      <c r="B22" s="0" t="n">
        <f aca="false">ROUND((Coordenadas!C22-Coordenadas!$G$2)*Coordenadas!$G$4,0)</f>
        <v>-119</v>
      </c>
      <c r="C22" s="0" t="n">
        <f aca="false">ROUND((Coordenadas!B22-Coordenadas!$G$3)*Coordenadas!$G$4,0)</f>
        <v>41</v>
      </c>
      <c r="D22" s="0" t="s">
        <v>27</v>
      </c>
      <c r="E22" s="0" t="s">
        <v>28</v>
      </c>
      <c r="F22" s="0" t="s">
        <v>15</v>
      </c>
      <c r="G22" s="0" t="s">
        <v>76</v>
      </c>
      <c r="H22" s="2" t="n">
        <v>0.5</v>
      </c>
      <c r="I22" s="3" t="n">
        <v>29.9</v>
      </c>
      <c r="J22" s="4" t="n">
        <v>245857</v>
      </c>
      <c r="K22" s="4" t="n">
        <v>16198000</v>
      </c>
      <c r="L22" s="5" t="s">
        <v>17</v>
      </c>
    </row>
    <row r="23" customFormat="false" ht="15" hidden="false" customHeight="false" outlineLevel="0" collapsed="false">
      <c r="A23" s="0" t="s">
        <v>77</v>
      </c>
      <c r="B23" s="0" t="n">
        <f aca="false">ROUND((Coordenadas!C23-Coordenadas!$G$2)*Coordenadas!$G$4,0)</f>
        <v>-35</v>
      </c>
      <c r="C23" s="0" t="n">
        <f aca="false">ROUND((Coordenadas!B23-Coordenadas!$G$3)*Coordenadas!$G$4,0)</f>
        <v>5</v>
      </c>
      <c r="D23" s="0" t="s">
        <v>19</v>
      </c>
      <c r="E23" s="0" t="s">
        <v>78</v>
      </c>
      <c r="F23" s="0" t="s">
        <v>15</v>
      </c>
      <c r="G23" s="0" t="s">
        <v>25</v>
      </c>
      <c r="H23" s="2" t="n">
        <v>0.674</v>
      </c>
      <c r="I23" s="3" t="n">
        <v>13.7</v>
      </c>
      <c r="J23" s="4" t="n">
        <v>28051</v>
      </c>
      <c r="K23" s="4" t="n">
        <v>1683000</v>
      </c>
      <c r="L23" s="5" t="s">
        <v>17</v>
      </c>
    </row>
    <row r="24" customFormat="false" ht="15" hidden="false" customHeight="false" outlineLevel="0" collapsed="false">
      <c r="A24" s="0" t="s">
        <v>79</v>
      </c>
      <c r="B24" s="0" t="n">
        <f aca="false">ROUND((Coordenadas!C24-Coordenadas!$G$2)*Coordenadas!$G$4,0)</f>
        <v>-139</v>
      </c>
      <c r="C24" s="0" t="n">
        <f aca="false">ROUND((Coordenadas!B24-Coordenadas!$G$3)*Coordenadas!$G$4,0)</f>
        <v>48</v>
      </c>
      <c r="D24" s="0" t="s">
        <v>27</v>
      </c>
      <c r="E24" s="0" t="s">
        <v>80</v>
      </c>
      <c r="F24" s="0" t="s">
        <v>15</v>
      </c>
      <c r="G24" s="0" t="s">
        <v>81</v>
      </c>
      <c r="H24" s="2" t="n">
        <v>0.514</v>
      </c>
      <c r="I24" s="3" t="n">
        <v>3</v>
      </c>
      <c r="J24" s="4" t="n">
        <v>36125</v>
      </c>
      <c r="K24" s="4" t="n">
        <v>2060000</v>
      </c>
      <c r="L24" s="5" t="s">
        <v>17</v>
      </c>
    </row>
    <row r="25" customFormat="false" ht="15" hidden="false" customHeight="false" outlineLevel="0" collapsed="false">
      <c r="A25" s="0" t="s">
        <v>82</v>
      </c>
      <c r="B25" s="0" t="n">
        <f aca="false">ROUND((Coordenadas!C25-Coordenadas!$G$2)*Coordenadas!$G$4,0)</f>
        <v>49</v>
      </c>
      <c r="C25" s="0" t="n">
        <f aca="false">ROUND((Coordenadas!B25-Coordenadas!$G$3)*Coordenadas!$G$4,0)</f>
        <v>-135</v>
      </c>
      <c r="D25" s="0" t="s">
        <v>13</v>
      </c>
      <c r="E25" s="0" t="s">
        <v>83</v>
      </c>
      <c r="F25" s="0" t="s">
        <v>15</v>
      </c>
      <c r="G25" s="0" t="s">
        <v>84</v>
      </c>
      <c r="H25" s="2" t="n">
        <v>0.55</v>
      </c>
      <c r="I25" s="3" t="n">
        <v>3</v>
      </c>
      <c r="J25" s="4" t="n">
        <v>30355</v>
      </c>
      <c r="K25" s="4" t="n">
        <v>2394000</v>
      </c>
      <c r="L25" s="5" t="s">
        <v>17</v>
      </c>
    </row>
    <row r="26" customFormat="false" ht="15" hidden="false" customHeight="false" outlineLevel="0" collapsed="false">
      <c r="A26" s="0" t="s">
        <v>85</v>
      </c>
      <c r="B26" s="0" t="n">
        <f aca="false">ROUND((Coordenadas!C26-Coordenadas!$G$2)*Coordenadas!$G$4,0)</f>
        <v>-116</v>
      </c>
      <c r="C26" s="0" t="n">
        <f aca="false">ROUND((Coordenadas!B26-Coordenadas!$G$3)*Coordenadas!$G$4,0)</f>
        <v>23</v>
      </c>
      <c r="D26" s="0" t="s">
        <v>27</v>
      </c>
      <c r="E26" s="0" t="s">
        <v>71</v>
      </c>
      <c r="F26" s="0" t="s">
        <v>15</v>
      </c>
      <c r="G26" s="0" t="s">
        <v>86</v>
      </c>
      <c r="H26" s="2" t="n">
        <v>0.51</v>
      </c>
      <c r="I26" s="3" t="n">
        <v>5.6</v>
      </c>
      <c r="J26" s="4" t="n">
        <v>111369</v>
      </c>
      <c r="K26" s="4" t="n">
        <v>5854000</v>
      </c>
      <c r="L26" s="5" t="s">
        <v>17</v>
      </c>
    </row>
    <row r="27" customFormat="false" ht="15" hidden="false" customHeight="false" outlineLevel="0" collapsed="false">
      <c r="A27" s="0" t="s">
        <v>87</v>
      </c>
      <c r="B27" s="0" t="n">
        <f aca="false">ROUND((Coordenadas!C27-Coordenadas!$G$2)*Coordenadas!$G$4,0)</f>
        <v>4</v>
      </c>
      <c r="C27" s="0" t="n">
        <f aca="false">ROUND((Coordenadas!B27-Coordenadas!$G$3)*Coordenadas!$G$4,0)</f>
        <v>112</v>
      </c>
      <c r="D27" s="0" t="s">
        <v>23</v>
      </c>
      <c r="E27" s="0" t="s">
        <v>57</v>
      </c>
      <c r="F27" s="0" t="s">
        <v>15</v>
      </c>
      <c r="G27" s="0" t="s">
        <v>88</v>
      </c>
      <c r="H27" s="2" t="n">
        <v>0.721</v>
      </c>
      <c r="I27" s="3" t="n">
        <v>52.5</v>
      </c>
      <c r="J27" s="4" t="n">
        <v>1759540</v>
      </c>
      <c r="K27" s="4" t="n">
        <v>7534000</v>
      </c>
      <c r="L27" s="5" t="s">
        <v>23</v>
      </c>
    </row>
    <row r="28" customFormat="false" ht="15" hidden="false" customHeight="false" outlineLevel="0" collapsed="false">
      <c r="A28" s="0" t="s">
        <v>89</v>
      </c>
      <c r="B28" s="0" t="n">
        <f aca="false">ROUND((Coordenadas!C28-Coordenadas!$G$2)*Coordenadas!$G$4,0)</f>
        <v>131</v>
      </c>
      <c r="C28" s="0" t="n">
        <f aca="false">ROUND((Coordenadas!B28-Coordenadas!$G$3)*Coordenadas!$G$4,0)</f>
        <v>-87</v>
      </c>
      <c r="D28" s="0" t="s">
        <v>37</v>
      </c>
      <c r="E28" s="0" t="s">
        <v>90</v>
      </c>
      <c r="F28" s="0" t="s">
        <v>91</v>
      </c>
      <c r="G28" s="0" t="s">
        <v>92</v>
      </c>
      <c r="H28" s="2" t="n">
        <v>0.487</v>
      </c>
      <c r="I28" s="3" t="n">
        <v>21.2</v>
      </c>
      <c r="J28" s="4" t="n">
        <v>587041</v>
      </c>
      <c r="K28" s="4" t="n">
        <v>32319000</v>
      </c>
      <c r="L28" s="5" t="s">
        <v>17</v>
      </c>
    </row>
    <row r="29" customFormat="false" ht="15" hidden="false" customHeight="false" outlineLevel="0" collapsed="false">
      <c r="A29" s="0" t="s">
        <v>93</v>
      </c>
      <c r="B29" s="0" t="n">
        <f aca="false">ROUND((Coordenadas!C29-Coordenadas!$G$2)*Coordenadas!$G$4,0)</f>
        <v>73</v>
      </c>
      <c r="C29" s="0" t="n">
        <f aca="false">ROUND((Coordenadas!B29-Coordenadas!$G$3)*Coordenadas!$G$4,0)</f>
        <v>-64</v>
      </c>
      <c r="D29" s="0" t="s">
        <v>37</v>
      </c>
      <c r="E29" s="0" t="s">
        <v>94</v>
      </c>
      <c r="F29" s="0" t="s">
        <v>15</v>
      </c>
      <c r="G29" s="0" t="s">
        <v>95</v>
      </c>
      <c r="H29" s="2" t="n">
        <v>0.517</v>
      </c>
      <c r="I29" s="3" t="n">
        <v>18.2</v>
      </c>
      <c r="J29" s="4" t="n">
        <v>118484</v>
      </c>
      <c r="K29" s="4" t="n">
        <v>24750000</v>
      </c>
      <c r="L29" s="5" t="s">
        <v>17</v>
      </c>
    </row>
    <row r="30" customFormat="false" ht="15" hidden="false" customHeight="false" outlineLevel="0" collapsed="false">
      <c r="A30" s="0" t="s">
        <v>96</v>
      </c>
      <c r="B30" s="0" t="n">
        <f aca="false">ROUND((Coordenadas!C30-Coordenadas!$G$2)*Coordenadas!$G$4,0)</f>
        <v>-84</v>
      </c>
      <c r="C30" s="0" t="n">
        <f aca="false">ROUND((Coordenadas!B30-Coordenadas!$G$3)*Coordenadas!$G$4,0)</f>
        <v>77</v>
      </c>
      <c r="D30" s="0" t="s">
        <v>27</v>
      </c>
      <c r="E30" s="0" t="s">
        <v>97</v>
      </c>
      <c r="F30" s="0" t="s">
        <v>15</v>
      </c>
      <c r="G30" s="0" t="s">
        <v>98</v>
      </c>
      <c r="H30" s="2" t="n">
        <v>0.419</v>
      </c>
      <c r="I30" s="3" t="n">
        <v>33.8</v>
      </c>
      <c r="J30" s="4" t="n">
        <v>1240192</v>
      </c>
      <c r="K30" s="4" t="n">
        <v>26020000</v>
      </c>
      <c r="L30" s="5" t="s">
        <v>17</v>
      </c>
    </row>
    <row r="31" customFormat="false" ht="15" hidden="false" customHeight="false" outlineLevel="0" collapsed="false">
      <c r="A31" s="0" t="s">
        <v>99</v>
      </c>
      <c r="B31" s="0" t="n">
        <f aca="false">ROUND((Coordenadas!C31-Coordenadas!$G$2)*Coordenadas!$G$4,0)</f>
        <v>-106</v>
      </c>
      <c r="C31" s="0" t="n">
        <f aca="false">ROUND((Coordenadas!B31-Coordenadas!$G$3)*Coordenadas!$G$4,0)</f>
        <v>134</v>
      </c>
      <c r="D31" s="0" t="s">
        <v>23</v>
      </c>
      <c r="E31" s="0" t="s">
        <v>24</v>
      </c>
      <c r="F31" s="0" t="s">
        <v>15</v>
      </c>
      <c r="G31" s="0" t="s">
        <v>100</v>
      </c>
      <c r="H31" s="2" t="n">
        <v>0.71</v>
      </c>
      <c r="I31" s="3" t="n">
        <v>194.3</v>
      </c>
      <c r="J31" s="4" t="n">
        <v>446550</v>
      </c>
      <c r="K31" s="4" t="n">
        <v>38050000</v>
      </c>
      <c r="L31" s="5" t="s">
        <v>23</v>
      </c>
    </row>
    <row r="32" customFormat="false" ht="15" hidden="false" customHeight="false" outlineLevel="0" collapsed="false">
      <c r="A32" s="0" t="s">
        <v>101</v>
      </c>
      <c r="B32" s="0" t="n">
        <f aca="false">ROUND((Coordenadas!C32-Coordenadas!$G$2)*Coordenadas!$G$4,0)</f>
        <v>178</v>
      </c>
      <c r="C32" s="0" t="n">
        <f aca="false">ROUND((Coordenadas!B32-Coordenadas!$G$3)*Coordenadas!$G$4,0)</f>
        <v>-95</v>
      </c>
      <c r="D32" s="0" t="s">
        <v>37</v>
      </c>
      <c r="E32" s="0" t="s">
        <v>102</v>
      </c>
      <c r="F32" s="0" t="s">
        <v>15</v>
      </c>
      <c r="G32" s="0" t="s">
        <v>103</v>
      </c>
      <c r="H32" s="2" t="n">
        <v>0.806</v>
      </c>
      <c r="I32" s="3" t="n">
        <v>17.1</v>
      </c>
      <c r="J32" s="4" t="n">
        <v>2040</v>
      </c>
      <c r="K32" s="4" t="n">
        <v>1239000</v>
      </c>
      <c r="L32" s="5" t="s">
        <v>17</v>
      </c>
    </row>
    <row r="33" customFormat="false" ht="15" hidden="false" customHeight="false" outlineLevel="0" collapsed="false">
      <c r="A33" s="0" t="s">
        <v>104</v>
      </c>
      <c r="B33" s="0" t="n">
        <f aca="false">ROUND((Coordenadas!C33-Coordenadas!$G$2)*Coordenadas!$G$4,0)</f>
        <v>-118</v>
      </c>
      <c r="C33" s="0" t="n">
        <f aca="false">ROUND((Coordenadas!B33-Coordenadas!$G$3)*Coordenadas!$G$4,0)</f>
        <v>81</v>
      </c>
      <c r="D33" s="0" t="s">
        <v>27</v>
      </c>
      <c r="E33" s="0" t="s">
        <v>57</v>
      </c>
      <c r="F33" s="0" t="s">
        <v>15</v>
      </c>
      <c r="G33" s="0" t="s">
        <v>105</v>
      </c>
      <c r="H33" s="2" t="n">
        <v>0.563</v>
      </c>
      <c r="I33" s="3" t="n">
        <v>14.4</v>
      </c>
      <c r="J33" s="4" t="n">
        <v>1030700</v>
      </c>
      <c r="K33" s="4" t="n">
        <v>4732000</v>
      </c>
      <c r="L33" s="5" t="s">
        <v>17</v>
      </c>
    </row>
    <row r="34" customFormat="false" ht="15" hidden="false" customHeight="false" outlineLevel="0" collapsed="false">
      <c r="A34" s="0" t="s">
        <v>106</v>
      </c>
      <c r="B34" s="0" t="n">
        <f aca="false">ROUND((Coordenadas!C34-Coordenadas!$G$2)*Coordenadas!$G$4,0)</f>
        <v>92</v>
      </c>
      <c r="C34" s="0" t="n">
        <f aca="false">ROUND((Coordenadas!B34-Coordenadas!$G$3)*Coordenadas!$G$4,0)</f>
        <v>-67</v>
      </c>
      <c r="D34" s="0" t="s">
        <v>37</v>
      </c>
      <c r="E34" s="0" t="s">
        <v>20</v>
      </c>
      <c r="F34" s="0" t="s">
        <v>15</v>
      </c>
      <c r="G34" s="0" t="s">
        <v>107</v>
      </c>
      <c r="H34" s="2" t="n">
        <v>0.493</v>
      </c>
      <c r="I34" s="3" t="n">
        <v>23.3</v>
      </c>
      <c r="J34" s="4" t="n">
        <v>799380</v>
      </c>
      <c r="K34" s="4" t="n">
        <v>36826000</v>
      </c>
      <c r="L34" s="5" t="s">
        <v>17</v>
      </c>
    </row>
    <row r="35" customFormat="false" ht="15" hidden="false" customHeight="false" outlineLevel="0" collapsed="false">
      <c r="A35" s="0" t="s">
        <v>108</v>
      </c>
      <c r="B35" s="0" t="n">
        <f aca="false">ROUND((Coordenadas!C35-Coordenadas!$G$2)*Coordenadas!$G$4,0)</f>
        <v>0</v>
      </c>
      <c r="C35" s="0" t="n">
        <f aca="false">ROUND((Coordenadas!B35-Coordenadas!$G$3)*Coordenadas!$G$4,0)</f>
        <v>-96</v>
      </c>
      <c r="D35" s="0" t="s">
        <v>13</v>
      </c>
      <c r="E35" s="0" t="s">
        <v>109</v>
      </c>
      <c r="F35" s="0" t="s">
        <v>15</v>
      </c>
      <c r="G35" s="0" t="s">
        <v>110</v>
      </c>
      <c r="H35" s="2" t="n">
        <v>0.665</v>
      </c>
      <c r="I35" s="3" t="n">
        <v>17.3</v>
      </c>
      <c r="J35" s="4" t="n">
        <v>824292</v>
      </c>
      <c r="K35" s="4" t="n">
        <v>3107000</v>
      </c>
      <c r="L35" s="5" t="s">
        <v>17</v>
      </c>
    </row>
    <row r="36" customFormat="false" ht="15" hidden="false" customHeight="false" outlineLevel="0" collapsed="false">
      <c r="A36" s="0" t="s">
        <v>111</v>
      </c>
      <c r="B36" s="0" t="n">
        <f aca="false">ROUND((Coordenadas!C36-Coordenadas!$G$2)*Coordenadas!$G$4,0)</f>
        <v>-33</v>
      </c>
      <c r="C36" s="0" t="n">
        <f aca="false">ROUND((Coordenadas!B36-Coordenadas!$G$3)*Coordenadas!$G$4,0)</f>
        <v>71</v>
      </c>
      <c r="D36" s="0" t="s">
        <v>27</v>
      </c>
      <c r="E36" s="0" t="s">
        <v>112</v>
      </c>
      <c r="F36" s="0" t="s">
        <v>15</v>
      </c>
      <c r="G36" s="0" t="s">
        <v>113</v>
      </c>
      <c r="H36" s="2" t="n">
        <v>0.419</v>
      </c>
      <c r="I36" s="3" t="n">
        <v>24.8</v>
      </c>
      <c r="J36" s="4" t="n">
        <v>1267000</v>
      </c>
      <c r="K36" s="4" t="n">
        <v>30204000</v>
      </c>
      <c r="L36" s="5" t="s">
        <v>17</v>
      </c>
    </row>
    <row r="37" customFormat="false" ht="15" hidden="false" customHeight="false" outlineLevel="0" collapsed="false">
      <c r="A37" s="0" t="s">
        <v>114</v>
      </c>
      <c r="B37" s="0" t="n">
        <f aca="false">ROUND((Coordenadas!C37-Coordenadas!$G$2)*Coordenadas!$G$4,0)</f>
        <v>-42</v>
      </c>
      <c r="C37" s="0" t="n">
        <f aca="false">ROUND((Coordenadas!B37-Coordenadas!$G$3)*Coordenadas!$G$4,0)</f>
        <v>36</v>
      </c>
      <c r="D37" s="0" t="s">
        <v>27</v>
      </c>
      <c r="E37" s="0" t="s">
        <v>115</v>
      </c>
      <c r="F37" s="0" t="s">
        <v>15</v>
      </c>
      <c r="G37" s="0" t="s">
        <v>116</v>
      </c>
      <c r="H37" s="2" t="n">
        <v>0.56</v>
      </c>
      <c r="I37" s="3" t="n">
        <v>377.4</v>
      </c>
      <c r="J37" s="4" t="n">
        <v>923768</v>
      </c>
      <c r="K37" s="4" t="n">
        <v>242578000</v>
      </c>
      <c r="L37" s="5" t="s">
        <v>17</v>
      </c>
    </row>
    <row r="38" customFormat="false" ht="15" hidden="false" customHeight="false" outlineLevel="0" collapsed="false">
      <c r="A38" s="0" t="s">
        <v>117</v>
      </c>
      <c r="B38" s="0" t="n">
        <f aca="false">ROUND((Coordenadas!C38-Coordenadas!$G$2)*Coordenadas!$G$4,0)</f>
        <v>92</v>
      </c>
      <c r="C38" s="0" t="n">
        <f aca="false">ROUND((Coordenadas!B38-Coordenadas!$G$3)*Coordenadas!$G$4,0)</f>
        <v>-3</v>
      </c>
      <c r="D38" s="0" t="s">
        <v>37</v>
      </c>
      <c r="E38" s="0" t="s">
        <v>118</v>
      </c>
      <c r="F38" s="0" t="s">
        <v>15</v>
      </c>
      <c r="G38" s="0" t="s">
        <v>119</v>
      </c>
      <c r="H38" s="2" t="n">
        <v>0.628</v>
      </c>
      <c r="I38" s="3" t="n">
        <v>147.3</v>
      </c>
      <c r="J38" s="4" t="n">
        <v>580367</v>
      </c>
      <c r="K38" s="4" t="n">
        <v>54269000</v>
      </c>
      <c r="L38" s="5" t="s">
        <v>17</v>
      </c>
    </row>
    <row r="39" customFormat="false" ht="15" hidden="false" customHeight="false" outlineLevel="0" collapsed="false">
      <c r="A39" s="0" t="s">
        <v>120</v>
      </c>
      <c r="B39" s="0" t="n">
        <f aca="false">ROUND((Coordenadas!C39-Coordenadas!$G$2)*Coordenadas!$G$4,0)</f>
        <v>17</v>
      </c>
      <c r="C39" s="0" t="n">
        <f aca="false">ROUND((Coordenadas!B39-Coordenadas!$G$3)*Coordenadas!$G$4,0)</f>
        <v>25</v>
      </c>
      <c r="D39" s="0" t="s">
        <v>19</v>
      </c>
      <c r="E39" s="0" t="s">
        <v>121</v>
      </c>
      <c r="F39" s="0" t="s">
        <v>15</v>
      </c>
      <c r="G39" s="0" t="s">
        <v>122</v>
      </c>
      <c r="H39" s="2" t="n">
        <v>0.414</v>
      </c>
      <c r="I39" s="3" t="n">
        <v>3.5</v>
      </c>
      <c r="J39" s="4" t="n">
        <v>622984</v>
      </c>
      <c r="K39" s="4" t="n">
        <v>5699000</v>
      </c>
      <c r="L39" s="5" t="s">
        <v>17</v>
      </c>
    </row>
    <row r="40" customFormat="false" ht="15" hidden="false" customHeight="false" outlineLevel="0" collapsed="false">
      <c r="A40" s="0" t="s">
        <v>123</v>
      </c>
      <c r="B40" s="0" t="n">
        <f aca="false">ROUND((Coordenadas!C40-Coordenadas!$G$2)*Coordenadas!$G$4,0)</f>
        <v>28</v>
      </c>
      <c r="C40" s="0" t="n">
        <f aca="false">ROUND((Coordenadas!B40-Coordenadas!$G$3)*Coordenadas!$G$4,0)</f>
        <v>-14</v>
      </c>
      <c r="D40" s="0" t="s">
        <v>19</v>
      </c>
      <c r="E40" s="0" t="s">
        <v>124</v>
      </c>
      <c r="F40" s="0" t="s">
        <v>15</v>
      </c>
      <c r="G40" s="0" t="s">
        <v>125</v>
      </c>
      <c r="H40" s="2" t="n">
        <v>0.522</v>
      </c>
      <c r="I40" s="3" t="n">
        <v>123.4</v>
      </c>
      <c r="J40" s="4" t="n">
        <v>2344858</v>
      </c>
      <c r="K40" s="4" t="n">
        <v>110020000</v>
      </c>
      <c r="L40" s="5" t="s">
        <v>17</v>
      </c>
    </row>
    <row r="41" customFormat="false" ht="15" hidden="false" customHeight="false" outlineLevel="0" collapsed="false">
      <c r="A41" s="0" t="s">
        <v>126</v>
      </c>
      <c r="B41" s="0" t="n">
        <f aca="false">ROUND((Coordenadas!C41-Coordenadas!$G$2)*Coordenadas!$G$4,0)</f>
        <v>-5</v>
      </c>
      <c r="C41" s="0" t="n">
        <f aca="false">ROUND((Coordenadas!B41-Coordenadas!$G$3)*Coordenadas!$G$4,0)</f>
        <v>-5</v>
      </c>
      <c r="D41" s="0" t="s">
        <v>19</v>
      </c>
      <c r="E41" s="0" t="s">
        <v>124</v>
      </c>
      <c r="F41" s="0" t="s">
        <v>15</v>
      </c>
      <c r="G41" s="0" t="s">
        <v>127</v>
      </c>
      <c r="H41" s="2" t="n">
        <v>0.649</v>
      </c>
      <c r="I41" s="3" t="n">
        <v>17</v>
      </c>
      <c r="J41" s="4" t="n">
        <v>342000</v>
      </c>
      <c r="K41" s="4" t="n">
        <v>6668000</v>
      </c>
      <c r="L41" s="5" t="s">
        <v>17</v>
      </c>
    </row>
    <row r="42" customFormat="false" ht="15" hidden="false" customHeight="false" outlineLevel="0" collapsed="false">
      <c r="A42" s="0" t="s">
        <v>128</v>
      </c>
      <c r="B42" s="0" t="n">
        <f aca="false">ROUND((Coordenadas!C42-Coordenadas!$G$2)*Coordenadas!$G$4,0)</f>
        <v>58</v>
      </c>
      <c r="C42" s="0" t="n">
        <f aca="false">ROUND((Coordenadas!B42-Coordenadas!$G$3)*Coordenadas!$G$4,0)</f>
        <v>-14</v>
      </c>
      <c r="D42" s="0" t="s">
        <v>37</v>
      </c>
      <c r="E42" s="0" t="s">
        <v>129</v>
      </c>
      <c r="F42" s="0" t="s">
        <v>15</v>
      </c>
      <c r="G42" s="0" t="s">
        <v>130</v>
      </c>
      <c r="H42" s="2" t="n">
        <v>0.578</v>
      </c>
      <c r="I42" s="3" t="n">
        <v>17.3</v>
      </c>
      <c r="J42" s="4" t="n">
        <v>26338</v>
      </c>
      <c r="K42" s="4" t="n">
        <v>14471000</v>
      </c>
      <c r="L42" s="5" t="s">
        <v>17</v>
      </c>
    </row>
    <row r="43" customFormat="false" ht="15" hidden="false" customHeight="false" outlineLevel="0" collapsed="false">
      <c r="A43" s="0" t="s">
        <v>131</v>
      </c>
      <c r="B43" s="0" t="n">
        <f aca="false">ROUND((Coordenadas!C43-Coordenadas!$G$2)*Coordenadas!$G$4,0)</f>
        <v>-44</v>
      </c>
      <c r="C43" s="0" t="n">
        <f aca="false">ROUND((Coordenadas!B43-Coordenadas!$G$3)*Coordenadas!$G$4,0)</f>
        <v>-1</v>
      </c>
      <c r="D43" s="0" t="s">
        <v>19</v>
      </c>
      <c r="E43" s="0" t="s">
        <v>20</v>
      </c>
      <c r="F43" s="0" t="s">
        <v>15</v>
      </c>
      <c r="G43" s="0" t="s">
        <v>132</v>
      </c>
      <c r="H43" s="2" t="n">
        <v>0.637</v>
      </c>
      <c r="I43" s="3" t="n">
        <v>1.2</v>
      </c>
      <c r="J43" s="4" t="n">
        <v>964</v>
      </c>
      <c r="K43" s="4" t="n">
        <v>245000</v>
      </c>
      <c r="L43" s="5" t="s">
        <v>17</v>
      </c>
    </row>
    <row r="44" customFormat="false" ht="15" hidden="false" customHeight="false" outlineLevel="0" collapsed="false">
      <c r="A44" s="0" t="s">
        <v>133</v>
      </c>
      <c r="B44" s="0" t="n">
        <f aca="false">ROUND((Coordenadas!C44-Coordenadas!$G$2)*Coordenadas!$G$4,0)</f>
        <v>-140</v>
      </c>
      <c r="C44" s="0" t="n">
        <f aca="false">ROUND((Coordenadas!B44-Coordenadas!$G$3)*Coordenadas!$G$4,0)</f>
        <v>61</v>
      </c>
      <c r="D44" s="0" t="s">
        <v>27</v>
      </c>
      <c r="E44" s="0" t="s">
        <v>134</v>
      </c>
      <c r="F44" s="0" t="s">
        <v>15</v>
      </c>
      <c r="G44" s="0" t="s">
        <v>135</v>
      </c>
      <c r="H44" s="2" t="n">
        <v>0.53</v>
      </c>
      <c r="I44" s="3" t="n">
        <v>40.5</v>
      </c>
      <c r="J44" s="4" t="n">
        <v>196722</v>
      </c>
      <c r="K44" s="4" t="n">
        <v>19700000</v>
      </c>
      <c r="L44" s="5" t="s">
        <v>17</v>
      </c>
    </row>
    <row r="45" customFormat="false" ht="15" hidden="false" customHeight="false" outlineLevel="0" collapsed="false">
      <c r="A45" s="0" t="s">
        <v>136</v>
      </c>
      <c r="B45" s="0" t="n">
        <f aca="false">ROUND((Coordenadas!C45-Coordenadas!$G$2)*Coordenadas!$G$4,0)</f>
        <v>-127</v>
      </c>
      <c r="C45" s="0" t="n">
        <f aca="false">ROUND((Coordenadas!B45-Coordenadas!$G$3)*Coordenadas!$G$4,0)</f>
        <v>32</v>
      </c>
      <c r="D45" s="0" t="s">
        <v>27</v>
      </c>
      <c r="E45" s="0" t="s">
        <v>137</v>
      </c>
      <c r="F45" s="0" t="s">
        <v>15</v>
      </c>
      <c r="G45" s="0" t="s">
        <v>138</v>
      </c>
      <c r="H45" s="2" t="n">
        <v>0.467</v>
      </c>
      <c r="I45" s="3" t="n">
        <v>8.3</v>
      </c>
      <c r="J45" s="4" t="n">
        <v>71740</v>
      </c>
      <c r="K45" s="4" t="n">
        <v>9002000</v>
      </c>
      <c r="L45" s="5" t="s">
        <v>17</v>
      </c>
    </row>
    <row r="46" customFormat="false" ht="15" hidden="false" customHeight="false" outlineLevel="0" collapsed="false">
      <c r="A46" s="0" t="s">
        <v>139</v>
      </c>
      <c r="B46" s="0" t="n">
        <f aca="false">ROUND((Coordenadas!C46-Coordenadas!$G$2)*Coordenadas!$G$4,0)</f>
        <v>169</v>
      </c>
      <c r="C46" s="0" t="n">
        <f aca="false">ROUND((Coordenadas!B46-Coordenadas!$G$3)*Coordenadas!$G$4,0)</f>
        <v>-26</v>
      </c>
      <c r="D46" s="0" t="s">
        <v>37</v>
      </c>
      <c r="E46" s="0" t="s">
        <v>140</v>
      </c>
      <c r="F46" s="0" t="s">
        <v>15</v>
      </c>
      <c r="G46" s="0" t="s">
        <v>141</v>
      </c>
      <c r="H46" s="2" t="n">
        <v>0.848</v>
      </c>
      <c r="I46" s="3" t="n">
        <v>2.3</v>
      </c>
      <c r="J46" s="4" t="n">
        <v>455</v>
      </c>
      <c r="K46" s="4" t="n">
        <v>127000</v>
      </c>
      <c r="L46" s="5" t="s">
        <v>17</v>
      </c>
    </row>
    <row r="47" customFormat="false" ht="15" hidden="false" customHeight="false" outlineLevel="0" collapsed="false">
      <c r="A47" s="0" t="s">
        <v>142</v>
      </c>
      <c r="B47" s="0" t="n">
        <f aca="false">ROUND((Coordenadas!C47-Coordenadas!$G$2)*Coordenadas!$G$4,0)</f>
        <v>124</v>
      </c>
      <c r="C47" s="0" t="n">
        <f aca="false">ROUND((Coordenadas!B47-Coordenadas!$G$3)*Coordenadas!$G$4,0)</f>
        <v>10</v>
      </c>
      <c r="D47" s="0" t="s">
        <v>37</v>
      </c>
      <c r="E47" s="0" t="s">
        <v>143</v>
      </c>
      <c r="F47" s="0" t="s">
        <v>15</v>
      </c>
      <c r="G47" s="0" t="s">
        <v>144</v>
      </c>
      <c r="H47" s="2" t="n">
        <v>0.404</v>
      </c>
      <c r="I47" s="3" t="n">
        <v>14.2</v>
      </c>
      <c r="J47" s="4" t="n">
        <v>637657</v>
      </c>
      <c r="K47" s="4" t="n">
        <v>17438000</v>
      </c>
      <c r="L47" s="5" t="s">
        <v>17</v>
      </c>
    </row>
    <row r="48" customFormat="false" ht="15" hidden="false" customHeight="false" outlineLevel="0" collapsed="false">
      <c r="A48" s="0" t="s">
        <v>145</v>
      </c>
      <c r="B48" s="0" t="n">
        <f aca="false">ROUND((Coordenadas!C48-Coordenadas!$G$2)*Coordenadas!$G$4,0)</f>
        <v>54</v>
      </c>
      <c r="C48" s="0" t="n">
        <f aca="false">ROUND((Coordenadas!B48-Coordenadas!$G$3)*Coordenadas!$G$4,0)</f>
        <v>66</v>
      </c>
      <c r="D48" s="0" t="s">
        <v>23</v>
      </c>
      <c r="E48" s="0" t="s">
        <v>146</v>
      </c>
      <c r="F48" s="0" t="s">
        <v>15</v>
      </c>
      <c r="G48" s="0" t="s">
        <v>147</v>
      </c>
      <c r="H48" s="2" t="n">
        <v>0.511</v>
      </c>
      <c r="I48" s="3" t="n">
        <v>44.7</v>
      </c>
      <c r="J48" s="4" t="n">
        <v>1861484</v>
      </c>
      <c r="K48" s="4" t="n">
        <v>51729000</v>
      </c>
      <c r="L48" s="5" t="s">
        <v>23</v>
      </c>
    </row>
    <row r="49" customFormat="false" ht="15" hidden="false" customHeight="false" outlineLevel="0" collapsed="false">
      <c r="A49" s="0" t="s">
        <v>148</v>
      </c>
      <c r="B49" s="0" t="n">
        <f aca="false">ROUND((Coordenadas!C49-Coordenadas!$G$2)*Coordenadas!$G$4,0)</f>
        <v>59</v>
      </c>
      <c r="C49" s="0" t="n">
        <f aca="false">ROUND((Coordenadas!B49-Coordenadas!$G$3)*Coordenadas!$G$4,0)</f>
        <v>26</v>
      </c>
      <c r="D49" s="0" t="s">
        <v>37</v>
      </c>
      <c r="E49" s="0" t="s">
        <v>71</v>
      </c>
      <c r="F49" s="0" t="s">
        <v>15</v>
      </c>
      <c r="G49" s="0" t="s">
        <v>88</v>
      </c>
      <c r="H49" s="2" t="n">
        <v>0.388</v>
      </c>
      <c r="I49" s="3" t="n">
        <v>6.1</v>
      </c>
      <c r="J49" s="4" t="n">
        <v>644329</v>
      </c>
      <c r="K49" s="4" t="n">
        <v>12436000</v>
      </c>
      <c r="L49" s="5" t="s">
        <v>17</v>
      </c>
    </row>
    <row r="50" customFormat="false" ht="15" hidden="false" customHeight="false" outlineLevel="0" collapsed="false">
      <c r="A50" s="0" t="s">
        <v>149</v>
      </c>
      <c r="B50" s="0" t="n">
        <f aca="false">ROUND((Coordenadas!C50-Coordenadas!$G$2)*Coordenadas!$G$4,0)</f>
        <v>79</v>
      </c>
      <c r="C50" s="0" t="n">
        <f aca="false">ROUND((Coordenadas!B50-Coordenadas!$G$3)*Coordenadas!$G$4,0)</f>
        <v>-32</v>
      </c>
      <c r="D50" s="0" t="s">
        <v>37</v>
      </c>
      <c r="E50" s="0" t="s">
        <v>118</v>
      </c>
      <c r="F50" s="0" t="s">
        <v>15</v>
      </c>
      <c r="G50" s="0" t="s">
        <v>150</v>
      </c>
      <c r="H50" s="2" t="n">
        <v>0.555</v>
      </c>
      <c r="I50" s="3" t="n">
        <v>94.9</v>
      </c>
      <c r="J50" s="4" t="n">
        <v>947300</v>
      </c>
      <c r="K50" s="4" t="n">
        <v>69653000</v>
      </c>
      <c r="L50" s="5" t="s">
        <v>17</v>
      </c>
    </row>
    <row r="51" customFormat="false" ht="15" hidden="false" customHeight="false" outlineLevel="0" collapsed="false">
      <c r="A51" s="0" t="s">
        <v>151</v>
      </c>
      <c r="B51" s="0" t="n">
        <f aca="false">ROUND((Coordenadas!C51-Coordenadas!$G$2)*Coordenadas!$G$4,0)</f>
        <v>-70</v>
      </c>
      <c r="C51" s="0" t="n">
        <f aca="false">ROUND((Coordenadas!B51-Coordenadas!$G$3)*Coordenadas!$G$4,0)</f>
        <v>33</v>
      </c>
      <c r="D51" s="0" t="s">
        <v>27</v>
      </c>
      <c r="E51" s="0" t="s">
        <v>28</v>
      </c>
      <c r="F51" s="0" t="s">
        <v>15</v>
      </c>
      <c r="G51" s="0" t="s">
        <v>152</v>
      </c>
      <c r="H51" s="2" t="n">
        <v>0.571</v>
      </c>
      <c r="I51" s="3" t="n">
        <v>13.4</v>
      </c>
      <c r="J51" s="4" t="n">
        <v>56785</v>
      </c>
      <c r="K51" s="4" t="n">
        <v>10020000</v>
      </c>
      <c r="L51" s="5" t="s">
        <v>17</v>
      </c>
    </row>
    <row r="52" customFormat="false" ht="15" hidden="false" customHeight="false" outlineLevel="0" collapsed="false">
      <c r="A52" s="0" t="s">
        <v>153</v>
      </c>
      <c r="B52" s="0" t="n">
        <f aca="false">ROUND((Coordenadas!C52-Coordenadas!$G$2)*Coordenadas!$G$4,0)</f>
        <v>-35</v>
      </c>
      <c r="C52" s="0" t="n">
        <f aca="false">ROUND((Coordenadas!B52-Coordenadas!$G$3)*Coordenadas!$G$4,0)</f>
        <v>143</v>
      </c>
      <c r="D52" s="0" t="s">
        <v>23</v>
      </c>
      <c r="E52" s="0" t="s">
        <v>57</v>
      </c>
      <c r="F52" s="0" t="s">
        <v>15</v>
      </c>
      <c r="G52" s="0" t="s">
        <v>154</v>
      </c>
      <c r="H52" s="2" t="n">
        <v>0.746</v>
      </c>
      <c r="I52" s="3" t="n">
        <v>60.7</v>
      </c>
      <c r="J52" s="4" t="n">
        <v>163610</v>
      </c>
      <c r="K52" s="4" t="n">
        <v>12415000</v>
      </c>
      <c r="L52" s="5" t="s">
        <v>23</v>
      </c>
    </row>
    <row r="53" customFormat="false" ht="15" hidden="false" customHeight="false" outlineLevel="0" collapsed="false">
      <c r="A53" s="0" t="s">
        <v>155</v>
      </c>
      <c r="B53" s="0" t="n">
        <f aca="false">ROUND((Coordenadas!C53-Coordenadas!$G$2)*Coordenadas!$G$4,0)</f>
        <v>70</v>
      </c>
      <c r="C53" s="0" t="n">
        <f aca="false">ROUND((Coordenadas!B53-Coordenadas!$G$3)*Coordenadas!$G$4,0)</f>
        <v>3</v>
      </c>
      <c r="D53" s="0" t="s">
        <v>37</v>
      </c>
      <c r="E53" s="0" t="s">
        <v>156</v>
      </c>
      <c r="F53" s="0" t="s">
        <v>15</v>
      </c>
      <c r="G53" s="0" t="s">
        <v>157</v>
      </c>
      <c r="H53" s="2" t="n">
        <v>0.582</v>
      </c>
      <c r="I53" s="3" t="n">
        <v>73.4</v>
      </c>
      <c r="J53" s="4" t="n">
        <v>241038</v>
      </c>
      <c r="K53" s="4" t="n">
        <v>49706000</v>
      </c>
      <c r="L53" s="5" t="s">
        <v>17</v>
      </c>
    </row>
    <row r="54" customFormat="false" ht="15" hidden="false" customHeight="false" outlineLevel="0" collapsed="false">
      <c r="A54" s="0" t="s">
        <v>158</v>
      </c>
      <c r="B54" s="0" t="n">
        <f aca="false">ROUND((Coordenadas!C54-Coordenadas!$G$2)*Coordenadas!$G$4,0)</f>
        <v>41</v>
      </c>
      <c r="C54" s="0" t="n">
        <f aca="false">ROUND((Coordenadas!B54-Coordenadas!$G$3)*Coordenadas!$G$4,0)</f>
        <v>-70</v>
      </c>
      <c r="D54" s="0" t="s">
        <v>37</v>
      </c>
      <c r="E54" s="0" t="s">
        <v>159</v>
      </c>
      <c r="F54" s="0" t="s">
        <v>15</v>
      </c>
      <c r="G54" s="0" t="s">
        <v>160</v>
      </c>
      <c r="H54" s="2" t="n">
        <v>0.595</v>
      </c>
      <c r="I54" s="3" t="n">
        <v>41.2</v>
      </c>
      <c r="J54" s="4" t="n">
        <v>752618</v>
      </c>
      <c r="K54" s="4" t="n">
        <v>22522000</v>
      </c>
      <c r="L54" s="5" t="s">
        <v>17</v>
      </c>
    </row>
    <row r="55" customFormat="false" ht="15" hidden="false" customHeight="false" outlineLevel="0" collapsed="false">
      <c r="A55" s="0" t="s">
        <v>161</v>
      </c>
      <c r="B55" s="0" t="n">
        <f aca="false">ROUND((Coordenadas!C55-Coordenadas!$G$2)*Coordenadas!$G$4,0)</f>
        <v>57</v>
      </c>
      <c r="C55" s="0" t="n">
        <f aca="false">ROUND((Coordenadas!B55-Coordenadas!$G$3)*Coordenadas!$G$4,0)</f>
        <v>-89</v>
      </c>
      <c r="D55" s="0" t="s">
        <v>37</v>
      </c>
      <c r="E55" s="0" t="s">
        <v>162</v>
      </c>
      <c r="F55" s="0" t="s">
        <v>15</v>
      </c>
      <c r="G55" s="0" t="s">
        <v>163</v>
      </c>
      <c r="H55" s="2" t="n">
        <v>0.598</v>
      </c>
      <c r="I55" s="3" t="n">
        <v>56.7</v>
      </c>
      <c r="J55" s="4" t="n">
        <v>390757</v>
      </c>
      <c r="K55" s="4" t="n">
        <v>17728000</v>
      </c>
      <c r="L55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  <c r="B1" s="1" t="s">
        <v>164</v>
      </c>
      <c r="C1" s="1" t="s">
        <v>165</v>
      </c>
      <c r="F1" s="6" t="s">
        <v>166</v>
      </c>
    </row>
    <row r="2" customFormat="false" ht="15" hidden="false" customHeight="false" outlineLevel="0" collapsed="false">
      <c r="A2" s="0" t="s">
        <v>12</v>
      </c>
      <c r="B2" s="7" t="n">
        <v>-29.7088</v>
      </c>
      <c r="C2" s="7" t="n">
        <v>23.6657</v>
      </c>
      <c r="F2" s="5" t="s">
        <v>167</v>
      </c>
      <c r="G2" s="8" t="n">
        <v>17</v>
      </c>
    </row>
    <row r="3" customFormat="false" ht="15" hidden="false" customHeight="false" outlineLevel="0" collapsed="false">
      <c r="A3" s="0" t="s">
        <v>18</v>
      </c>
      <c r="B3" s="7" t="n">
        <v>-12.1828</v>
      </c>
      <c r="C3" s="7" t="n">
        <v>17.9842</v>
      </c>
      <c r="F3" s="5" t="s">
        <v>168</v>
      </c>
      <c r="G3" s="8" t="n">
        <v>1.25</v>
      </c>
    </row>
    <row r="4" customFormat="false" ht="15" hidden="false" customHeight="false" outlineLevel="0" collapsed="false">
      <c r="A4" s="0" t="s">
        <v>22</v>
      </c>
      <c r="B4" s="7" t="n">
        <v>27.3974</v>
      </c>
      <c r="C4" s="7" t="n">
        <v>2.8082</v>
      </c>
      <c r="F4" s="5" t="s">
        <v>169</v>
      </c>
      <c r="G4" s="8" t="n">
        <v>4.4</v>
      </c>
    </row>
    <row r="5" customFormat="false" ht="15" hidden="false" customHeight="false" outlineLevel="0" collapsed="false">
      <c r="A5" s="0" t="s">
        <v>26</v>
      </c>
      <c r="B5" s="7" t="n">
        <v>10.3248</v>
      </c>
      <c r="C5" s="7" t="n">
        <v>2.352</v>
      </c>
    </row>
    <row r="6" customFormat="false" ht="15" hidden="false" customHeight="false" outlineLevel="0" collapsed="false">
      <c r="A6" s="0" t="s">
        <v>30</v>
      </c>
      <c r="B6" s="7" t="n">
        <v>-22.1026</v>
      </c>
      <c r="C6" s="7" t="n">
        <v>24.1792</v>
      </c>
      <c r="F6" s="5" t="s">
        <v>170</v>
      </c>
    </row>
    <row r="7" customFormat="false" ht="15" hidden="false" customHeight="false" outlineLevel="0" collapsed="false">
      <c r="A7" s="0" t="s">
        <v>33</v>
      </c>
      <c r="B7" s="7" t="n">
        <v>12.673</v>
      </c>
      <c r="C7" s="7" t="n">
        <v>-1.3639</v>
      </c>
      <c r="F7" s="5" t="s">
        <v>171</v>
      </c>
    </row>
    <row r="8" customFormat="false" ht="15" hidden="false" customHeight="false" outlineLevel="0" collapsed="false">
      <c r="A8" s="0" t="s">
        <v>36</v>
      </c>
      <c r="B8" s="7" t="n">
        <v>-3.3328</v>
      </c>
      <c r="C8" s="7" t="n">
        <v>29.9171</v>
      </c>
      <c r="F8" s="5" t="s">
        <v>172</v>
      </c>
    </row>
    <row r="9" customFormat="false" ht="15" hidden="false" customHeight="false" outlineLevel="0" collapsed="false">
      <c r="A9" s="0" t="s">
        <v>40</v>
      </c>
      <c r="B9" s="7" t="n">
        <v>15.0748</v>
      </c>
      <c r="C9" s="7" t="n">
        <v>-23.6394</v>
      </c>
      <c r="F9" s="5" t="s">
        <v>173</v>
      </c>
    </row>
    <row r="10" customFormat="false" ht="15" hidden="false" customHeight="false" outlineLevel="0" collapsed="false">
      <c r="A10" s="0" t="s">
        <v>43</v>
      </c>
      <c r="B10" s="7" t="n">
        <v>4.585</v>
      </c>
      <c r="C10" s="7" t="n">
        <v>12.4735</v>
      </c>
    </row>
    <row r="11" customFormat="false" ht="15" hidden="false" customHeight="false" outlineLevel="0" collapsed="false">
      <c r="A11" s="0" t="s">
        <v>46</v>
      </c>
      <c r="B11" s="7" t="n">
        <v>15.143</v>
      </c>
      <c r="C11" s="7" t="n">
        <v>18.645</v>
      </c>
    </row>
    <row r="12" customFormat="false" ht="15" hidden="false" customHeight="false" outlineLevel="0" collapsed="false">
      <c r="A12" s="0" t="s">
        <v>49</v>
      </c>
      <c r="B12" s="7" t="n">
        <v>-11.7277</v>
      </c>
      <c r="C12" s="7" t="n">
        <v>43.3181</v>
      </c>
    </row>
    <row r="13" customFormat="false" ht="15" hidden="false" customHeight="false" outlineLevel="0" collapsed="false">
      <c r="A13" s="0" t="s">
        <v>52</v>
      </c>
      <c r="B13" s="7" t="n">
        <v>7.4914</v>
      </c>
      <c r="C13" s="7" t="n">
        <v>-5.5686</v>
      </c>
    </row>
    <row r="14" customFormat="false" ht="15" hidden="false" customHeight="false" outlineLevel="0" collapsed="false">
      <c r="A14" s="0" t="s">
        <v>54</v>
      </c>
      <c r="B14" s="7" t="n">
        <v>11.9763</v>
      </c>
      <c r="C14" s="7" t="n">
        <v>42.4988</v>
      </c>
    </row>
    <row r="15" customFormat="false" ht="15" hidden="false" customHeight="false" outlineLevel="0" collapsed="false">
      <c r="A15" s="0" t="s">
        <v>56</v>
      </c>
      <c r="B15" s="7" t="n">
        <v>26.1862</v>
      </c>
      <c r="C15" s="7" t="n">
        <v>29.4458</v>
      </c>
    </row>
    <row r="16" customFormat="false" ht="15" hidden="false" customHeight="false" outlineLevel="0" collapsed="false">
      <c r="A16" s="0" t="s">
        <v>59</v>
      </c>
      <c r="B16" s="7" t="n">
        <v>15.7874</v>
      </c>
      <c r="C16" s="7" t="n">
        <v>38.2856</v>
      </c>
    </row>
    <row r="17" customFormat="false" ht="15" hidden="false" customHeight="false" outlineLevel="0" collapsed="false">
      <c r="A17" s="0" t="s">
        <v>62</v>
      </c>
      <c r="B17" s="7" t="n">
        <v>-26.5337</v>
      </c>
      <c r="C17" s="7" t="n">
        <v>31.4673</v>
      </c>
    </row>
    <row r="18" customFormat="false" ht="15" hidden="false" customHeight="false" outlineLevel="0" collapsed="false">
      <c r="A18" s="0" t="s">
        <v>65</v>
      </c>
      <c r="B18" s="7" t="n">
        <v>8.0328</v>
      </c>
      <c r="C18" s="7" t="n">
        <v>39.0886</v>
      </c>
    </row>
    <row r="19" customFormat="false" ht="15" hidden="false" customHeight="false" outlineLevel="0" collapsed="false">
      <c r="A19" s="0" t="s">
        <v>68</v>
      </c>
      <c r="B19" s="7" t="n">
        <v>-0.4377</v>
      </c>
      <c r="C19" s="7" t="n">
        <v>11.8359</v>
      </c>
    </row>
    <row r="20" customFormat="false" ht="15" hidden="false" customHeight="false" outlineLevel="0" collapsed="false">
      <c r="A20" s="0" t="s">
        <v>70</v>
      </c>
      <c r="B20" s="7" t="n">
        <v>13.6417</v>
      </c>
      <c r="C20" s="7" t="n">
        <v>-14.9983</v>
      </c>
    </row>
    <row r="21" customFormat="false" ht="15" hidden="false" customHeight="false" outlineLevel="0" collapsed="false">
      <c r="A21" s="0" t="s">
        <v>73</v>
      </c>
      <c r="B21" s="7" t="n">
        <v>7.7176</v>
      </c>
      <c r="C21" s="7" t="n">
        <v>-1.0369</v>
      </c>
    </row>
    <row r="22" customFormat="false" ht="15" hidden="false" customHeight="false" outlineLevel="0" collapsed="false">
      <c r="A22" s="0" t="s">
        <v>75</v>
      </c>
      <c r="B22" s="7" t="n">
        <v>10.6185</v>
      </c>
      <c r="C22" s="7" t="n">
        <v>-10.0164</v>
      </c>
    </row>
    <row r="23" customFormat="false" ht="15" hidden="false" customHeight="false" outlineLevel="0" collapsed="false">
      <c r="A23" s="0" t="s">
        <v>77</v>
      </c>
      <c r="B23" s="7" t="n">
        <v>2.333</v>
      </c>
      <c r="C23" s="7" t="n">
        <v>8.9902</v>
      </c>
    </row>
    <row r="24" customFormat="false" ht="15" hidden="false" customHeight="false" outlineLevel="0" collapsed="false">
      <c r="A24" s="0" t="s">
        <v>79</v>
      </c>
      <c r="B24" s="7" t="n">
        <v>12.1637</v>
      </c>
      <c r="C24" s="7" t="n">
        <v>-14.5241</v>
      </c>
    </row>
    <row r="25" customFormat="false" ht="15" hidden="false" customHeight="false" outlineLevel="0" collapsed="false">
      <c r="A25" s="0" t="s">
        <v>82</v>
      </c>
      <c r="B25" s="7" t="n">
        <v>-29.4802</v>
      </c>
      <c r="C25" s="7" t="n">
        <v>28.2466</v>
      </c>
    </row>
    <row r="26" customFormat="false" ht="15" hidden="false" customHeight="false" outlineLevel="0" collapsed="false">
      <c r="A26" s="0" t="s">
        <v>85</v>
      </c>
      <c r="B26" s="7" t="n">
        <v>6.4472</v>
      </c>
      <c r="C26" s="7" t="n">
        <v>-9.4604</v>
      </c>
    </row>
    <row r="27" customFormat="false" ht="15" hidden="false" customHeight="false" outlineLevel="0" collapsed="false">
      <c r="A27" s="0" t="s">
        <v>87</v>
      </c>
      <c r="B27" s="7" t="n">
        <v>26.6389</v>
      </c>
      <c r="C27" s="7" t="n">
        <v>18.011</v>
      </c>
    </row>
    <row r="28" customFormat="false" ht="15" hidden="false" customHeight="false" outlineLevel="0" collapsed="false">
      <c r="A28" s="0" t="s">
        <v>89</v>
      </c>
      <c r="B28" s="7" t="n">
        <v>-18.6283</v>
      </c>
      <c r="C28" s="7" t="n">
        <v>46.7042</v>
      </c>
    </row>
    <row r="29" customFormat="false" ht="15" hidden="false" customHeight="false" outlineLevel="0" collapsed="false">
      <c r="A29" s="0" t="s">
        <v>93</v>
      </c>
      <c r="B29" s="7" t="n">
        <v>-13.3867</v>
      </c>
      <c r="C29" s="7" t="n">
        <v>33.6081</v>
      </c>
    </row>
    <row r="30" customFormat="false" ht="15" hidden="false" customHeight="false" outlineLevel="0" collapsed="false">
      <c r="A30" s="0" t="s">
        <v>96</v>
      </c>
      <c r="B30" s="7" t="n">
        <v>18.6927</v>
      </c>
      <c r="C30" s="7" t="n">
        <v>-2.0385</v>
      </c>
    </row>
    <row r="31" customFormat="false" ht="15" hidden="false" customHeight="false" outlineLevel="0" collapsed="false">
      <c r="A31" s="0" t="s">
        <v>99</v>
      </c>
      <c r="B31" s="7" t="n">
        <v>31.6507</v>
      </c>
      <c r="C31" s="7" t="n">
        <v>-7.1873</v>
      </c>
    </row>
    <row r="32" customFormat="false" ht="15" hidden="false" customHeight="false" outlineLevel="0" collapsed="false">
      <c r="A32" s="0" t="s">
        <v>101</v>
      </c>
      <c r="B32" s="7" t="n">
        <v>-20.2995</v>
      </c>
      <c r="C32" s="7" t="n">
        <v>57.5658</v>
      </c>
    </row>
    <row r="33" customFormat="false" ht="15" hidden="false" customHeight="false" outlineLevel="0" collapsed="false">
      <c r="A33" s="0" t="s">
        <v>104</v>
      </c>
      <c r="B33" s="7" t="n">
        <v>19.5871</v>
      </c>
      <c r="C33" s="7" t="n">
        <v>-9.7403</v>
      </c>
    </row>
    <row r="34" customFormat="false" ht="15" hidden="false" customHeight="false" outlineLevel="0" collapsed="false">
      <c r="A34" s="0" t="s">
        <v>106</v>
      </c>
      <c r="B34" s="7" t="n">
        <v>-13.9432</v>
      </c>
      <c r="C34" s="7" t="n">
        <v>37.8379</v>
      </c>
    </row>
    <row r="35" customFormat="false" ht="15" hidden="false" customHeight="false" outlineLevel="0" collapsed="false">
      <c r="A35" s="0" t="s">
        <v>108</v>
      </c>
      <c r="B35" s="7" t="n">
        <v>-20.5753</v>
      </c>
      <c r="C35" s="7" t="n">
        <v>17.1082</v>
      </c>
    </row>
    <row r="36" customFormat="false" ht="15" hidden="false" customHeight="false" outlineLevel="0" collapsed="false">
      <c r="A36" s="0" t="s">
        <v>111</v>
      </c>
      <c r="B36" s="7" t="n">
        <v>17.4462</v>
      </c>
      <c r="C36" s="7" t="n">
        <v>9.5044</v>
      </c>
    </row>
    <row r="37" customFormat="false" ht="15" hidden="false" customHeight="false" outlineLevel="0" collapsed="false">
      <c r="A37" s="0" t="s">
        <v>114</v>
      </c>
      <c r="B37" s="7" t="n">
        <v>9.4398</v>
      </c>
      <c r="C37" s="7" t="n">
        <v>7.5032</v>
      </c>
    </row>
    <row r="38" customFormat="false" ht="15" hidden="false" customHeight="false" outlineLevel="0" collapsed="false">
      <c r="A38" s="0" t="s">
        <v>117</v>
      </c>
      <c r="B38" s="7" t="n">
        <v>0.549</v>
      </c>
      <c r="C38" s="7" t="n">
        <v>37.9076</v>
      </c>
    </row>
    <row r="39" customFormat="false" ht="15" hidden="false" customHeight="false" outlineLevel="0" collapsed="false">
      <c r="A39" s="0" t="s">
        <v>120</v>
      </c>
      <c r="B39" s="7" t="n">
        <v>6.9897</v>
      </c>
      <c r="C39" s="7" t="n">
        <v>20.9069</v>
      </c>
    </row>
    <row r="40" customFormat="false" ht="15" hidden="false" customHeight="false" outlineLevel="0" collapsed="false">
      <c r="A40" s="0" t="s">
        <v>123</v>
      </c>
      <c r="B40" s="7" t="n">
        <v>-1.8582</v>
      </c>
      <c r="C40" s="7" t="n">
        <v>23.4588</v>
      </c>
    </row>
    <row r="41" customFormat="false" ht="15" hidden="false" customHeight="false" outlineLevel="0" collapsed="false">
      <c r="A41" s="0" t="s">
        <v>126</v>
      </c>
      <c r="B41" s="7" t="n">
        <v>0.1423</v>
      </c>
      <c r="C41" s="7" t="n">
        <v>15.9005</v>
      </c>
    </row>
    <row r="42" customFormat="false" ht="15" hidden="false" customHeight="false" outlineLevel="0" collapsed="false">
      <c r="A42" s="0" t="s">
        <v>128</v>
      </c>
      <c r="B42" s="7" t="n">
        <v>-1.8972</v>
      </c>
      <c r="C42" s="7" t="n">
        <v>30.1039</v>
      </c>
    </row>
    <row r="43" customFormat="false" ht="15" hidden="false" customHeight="false" outlineLevel="0" collapsed="false">
      <c r="A43" s="0" t="s">
        <v>131</v>
      </c>
      <c r="B43" s="7" t="n">
        <v>0.9709</v>
      </c>
      <c r="C43" s="7" t="n">
        <v>7.021</v>
      </c>
    </row>
    <row r="44" customFormat="false" ht="15" hidden="false" customHeight="false" outlineLevel="0" collapsed="false">
      <c r="A44" s="0" t="s">
        <v>133</v>
      </c>
      <c r="B44" s="7" t="n">
        <v>15.1381</v>
      </c>
      <c r="C44" s="7" t="n">
        <v>-14.7786</v>
      </c>
    </row>
    <row r="45" customFormat="false" ht="15" hidden="false" customHeight="false" outlineLevel="0" collapsed="false">
      <c r="A45" s="0" t="s">
        <v>136</v>
      </c>
      <c r="B45" s="7" t="n">
        <v>8.6174</v>
      </c>
      <c r="C45" s="7" t="n">
        <v>-11.7637</v>
      </c>
    </row>
    <row r="46" customFormat="false" ht="15" hidden="false" customHeight="false" outlineLevel="0" collapsed="false">
      <c r="A46" s="0" t="s">
        <v>139</v>
      </c>
      <c r="B46" s="7" t="n">
        <v>-4.6767</v>
      </c>
      <c r="C46" s="7" t="n">
        <v>55.4802</v>
      </c>
    </row>
    <row r="47" customFormat="false" ht="15" hidden="false" customHeight="false" outlineLevel="0" collapsed="false">
      <c r="A47" s="0" t="s">
        <v>142</v>
      </c>
      <c r="B47" s="7" t="n">
        <v>3.5689</v>
      </c>
      <c r="C47" s="7" t="n">
        <v>45.1924</v>
      </c>
    </row>
    <row r="48" customFormat="false" ht="15" hidden="false" customHeight="false" outlineLevel="0" collapsed="false">
      <c r="A48" s="0" t="s">
        <v>145</v>
      </c>
      <c r="B48" s="7" t="n">
        <v>16.3307</v>
      </c>
      <c r="C48" s="7" t="n">
        <v>29.2607</v>
      </c>
    </row>
    <row r="49" customFormat="false" ht="15" hidden="false" customHeight="false" outlineLevel="0" collapsed="false">
      <c r="A49" s="0" t="s">
        <v>148</v>
      </c>
      <c r="B49" s="7" t="n">
        <v>7.2305</v>
      </c>
      <c r="C49" s="7" t="n">
        <v>30.3902</v>
      </c>
    </row>
    <row r="50" customFormat="false" ht="15" hidden="false" customHeight="false" outlineLevel="0" collapsed="false">
      <c r="A50" s="0" t="s">
        <v>149</v>
      </c>
      <c r="B50" s="7" t="n">
        <v>-6.0519</v>
      </c>
      <c r="C50" s="7" t="n">
        <v>34.9592</v>
      </c>
    </row>
    <row r="51" customFormat="false" ht="15" hidden="false" customHeight="false" outlineLevel="0" collapsed="false">
      <c r="A51" s="0" t="s">
        <v>151</v>
      </c>
      <c r="B51" s="7" t="n">
        <v>8.8072</v>
      </c>
      <c r="C51" s="7" t="n">
        <v>1.0581</v>
      </c>
    </row>
    <row r="52" customFormat="false" ht="15" hidden="false" customHeight="false" outlineLevel="0" collapsed="false">
      <c r="A52" s="0" t="s">
        <v>153</v>
      </c>
      <c r="B52" s="7" t="n">
        <v>33.6873</v>
      </c>
      <c r="C52" s="7" t="n">
        <v>9.0079</v>
      </c>
    </row>
    <row r="53" customFormat="false" ht="15" hidden="false" customHeight="false" outlineLevel="0" collapsed="false">
      <c r="A53" s="0" t="s">
        <v>155</v>
      </c>
      <c r="B53" s="7" t="n">
        <v>1.9726</v>
      </c>
      <c r="C53" s="7" t="n">
        <v>32.9486</v>
      </c>
    </row>
    <row r="54" customFormat="false" ht="15" hidden="false" customHeight="false" outlineLevel="0" collapsed="false">
      <c r="A54" s="0" t="s">
        <v>158</v>
      </c>
      <c r="B54" s="7" t="n">
        <v>-14.6608</v>
      </c>
      <c r="C54" s="7" t="n">
        <v>26.3953</v>
      </c>
    </row>
    <row r="55" customFormat="false" ht="15" hidden="false" customHeight="false" outlineLevel="0" collapsed="false">
      <c r="A55" s="0" t="s">
        <v>161</v>
      </c>
      <c r="B55" s="7" t="n">
        <v>-18.9116</v>
      </c>
      <c r="C55" s="7" t="n">
        <v>29.9254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9" t="s">
        <v>174</v>
      </c>
    </row>
    <row r="3" customFormat="false" ht="15" hidden="false" customHeight="false" outlineLevel="0" collapsed="false">
      <c r="A3" s="6" t="s">
        <v>175</v>
      </c>
      <c r="B3" s="6" t="s">
        <v>176</v>
      </c>
    </row>
    <row r="4" customFormat="false" ht="15" hidden="false" customHeight="false" outlineLevel="0" collapsed="false">
      <c r="A4" s="10" t="s">
        <v>177</v>
      </c>
      <c r="B4" s="11" t="s">
        <v>178</v>
      </c>
    </row>
    <row r="5" customFormat="false" ht="15" hidden="false" customHeight="false" outlineLevel="0" collapsed="false">
      <c r="A5" s="10" t="s">
        <v>179</v>
      </c>
      <c r="B5" s="11" t="s">
        <v>180</v>
      </c>
    </row>
    <row r="6" customFormat="false" ht="15" hidden="false" customHeight="false" outlineLevel="0" collapsed="false">
      <c r="A6" s="10" t="s">
        <v>181</v>
      </c>
      <c r="B6" s="11" t="s">
        <v>182</v>
      </c>
    </row>
    <row r="7" customFormat="false" ht="28.35" hidden="false" customHeight="false" outlineLevel="0" collapsed="false">
      <c r="A7" s="10" t="s">
        <v>3</v>
      </c>
      <c r="B7" s="11" t="s">
        <v>183</v>
      </c>
    </row>
    <row r="8" customFormat="false" ht="15" hidden="false" customHeight="false" outlineLevel="0" collapsed="false">
      <c r="A8" s="10" t="s">
        <v>11</v>
      </c>
      <c r="B8" s="11" t="s">
        <v>184</v>
      </c>
    </row>
    <row r="9" customFormat="false" ht="15" hidden="false" customHeight="false" outlineLevel="0" collapsed="false">
      <c r="A9" s="10" t="s">
        <v>7</v>
      </c>
      <c r="B9" s="11" t="s">
        <v>185</v>
      </c>
    </row>
    <row r="10" customFormat="false" ht="15" hidden="false" customHeight="false" outlineLevel="0" collapsed="false">
      <c r="A10" s="10" t="s">
        <v>8</v>
      </c>
      <c r="B10" s="11" t="s">
        <v>186</v>
      </c>
    </row>
    <row r="11" customFormat="false" ht="15" hidden="false" customHeight="false" outlineLevel="0" collapsed="false">
      <c r="A11" s="10" t="s">
        <v>10</v>
      </c>
      <c r="B11" s="11" t="s">
        <v>187</v>
      </c>
    </row>
    <row r="12" customFormat="false" ht="15" hidden="false" customHeight="false" outlineLevel="0" collapsed="false">
      <c r="A12" s="10" t="s">
        <v>9</v>
      </c>
      <c r="B12" s="11" t="s">
        <v>188</v>
      </c>
    </row>
    <row r="13" customFormat="false" ht="15" hidden="false" customHeight="false" outlineLevel="0" collapsed="false">
      <c r="A13" s="10" t="s">
        <v>4</v>
      </c>
      <c r="B13" s="11" t="s">
        <v>189</v>
      </c>
    </row>
    <row r="14" customFormat="false" ht="15" hidden="false" customHeight="false" outlineLevel="0" collapsed="false">
      <c r="A14" s="10" t="s">
        <v>5</v>
      </c>
      <c r="B14" s="11" t="s">
        <v>190</v>
      </c>
    </row>
    <row r="15" customFormat="false" ht="15" hidden="false" customHeight="false" outlineLevel="0" collapsed="false">
      <c r="A15" s="10" t="s">
        <v>6</v>
      </c>
      <c r="B15" s="11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2026-09-11T19:56:26Z</dcterms:created>
  <dc:creator>openpyxl</dc:creator>
  <dc:description/>
  <dc:language>en-US</dc:language>
  <cp:lastModifiedBy/>
  <dcterms:modified xsi:type="dcterms:W3CDTF">2026-09-11T19:56:26Z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